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40610924 (Regresi OLS)\"/>
    </mc:Choice>
  </mc:AlternateContent>
  <xr:revisionPtr revIDLastSave="0" documentId="13_ncr:1_{1545267E-774F-41F7-90C1-36116D4FB457}" xr6:coauthVersionLast="47" xr6:coauthVersionMax="47" xr10:uidLastSave="{00000000-0000-0000-0000-000000000000}"/>
  <bookViews>
    <workbookView xWindow="-110" yWindow="-110" windowWidth="19420" windowHeight="10300" firstSheet="7" activeTab="8" xr2:uid="{C874F385-03C0-4977-96B9-A89D41F44E9B}"/>
  </bookViews>
  <sheets>
    <sheet name="soal pre test eksperimen" sheetId="1" r:id="rId1"/>
    <sheet name="post test eksperimen" sheetId="5" r:id="rId2"/>
    <sheet name="Angket Eksperimen" sheetId="8" r:id="rId3"/>
    <sheet name="ANGKET EKSPERIMEN 2" sheetId="24" r:id="rId4"/>
    <sheet name="LKPD 1 EKSPERIMEN" sheetId="9" r:id="rId5"/>
    <sheet name="LKPD 2 EKSPERIMEN" sheetId="10" r:id="rId6"/>
    <sheet name="REFLEKSI EKSPERIMEN" sheetId="20" r:id="rId7"/>
    <sheet name="ASSEMEN PENILAIAN EKSPERIMEN" sheetId="21" r:id="rId8"/>
    <sheet name="pre test kontrol" sheetId="6" r:id="rId9"/>
    <sheet name="post test kontrol" sheetId="7" r:id="rId10"/>
    <sheet name="LKPD 1 KONTROL" sheetId="13" r:id="rId11"/>
    <sheet name="LKPD 2 KONTROL" sheetId="14" r:id="rId12"/>
    <sheet name="REFLEKSI PESERTA DIDIK KONTROL" sheetId="16" r:id="rId13"/>
    <sheet name="ASESMEN PENILAIAN KONTROL" sheetId="17" r:id="rId14"/>
    <sheet name="N-GAIN EKSPERIMEN" sheetId="18" r:id="rId15"/>
    <sheet name="N-GAIN KONTROL" sheetId="22" r:id="rId16"/>
    <sheet name="Sheet1" sheetId="23" r:id="rId17"/>
    <sheet name="Sheet4" sheetId="26" r:id="rId18"/>
    <sheet name="Sheet3" sheetId="28" r:id="rId19"/>
    <sheet name="Sheet5" sheetId="30" r:id="rId20"/>
    <sheet name="Sheet2" sheetId="29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30" l="1"/>
  <c r="H2" i="1"/>
  <c r="W2" i="8"/>
  <c r="K47" i="30"/>
  <c r="J47" i="30"/>
  <c r="K46" i="30"/>
  <c r="J46" i="30"/>
  <c r="L45" i="30"/>
  <c r="L44" i="30"/>
  <c r="L43" i="30"/>
  <c r="L42" i="30"/>
  <c r="L41" i="30"/>
  <c r="L40" i="30"/>
  <c r="L39" i="30"/>
  <c r="L38" i="30"/>
  <c r="L37" i="30"/>
  <c r="L36" i="30"/>
  <c r="L35" i="30"/>
  <c r="L34" i="30"/>
  <c r="L33" i="30"/>
  <c r="L32" i="30"/>
  <c r="L31" i="30"/>
  <c r="L30" i="30"/>
  <c r="L29" i="30"/>
  <c r="L28" i="30"/>
  <c r="L27" i="30"/>
  <c r="L26" i="30"/>
  <c r="L25" i="30"/>
  <c r="L24" i="30"/>
  <c r="L23" i="30"/>
  <c r="L22" i="30"/>
  <c r="L21" i="30"/>
  <c r="L20" i="30"/>
  <c r="L19" i="30"/>
  <c r="L18" i="30"/>
  <c r="L17" i="30"/>
  <c r="L16" i="30"/>
  <c r="L15" i="30"/>
  <c r="L14" i="30"/>
  <c r="L13" i="30"/>
  <c r="L12" i="30"/>
  <c r="L11" i="30"/>
  <c r="L10" i="30"/>
  <c r="L9" i="30"/>
  <c r="L8" i="30"/>
  <c r="L7" i="30"/>
  <c r="L6" i="30"/>
  <c r="L5" i="30"/>
  <c r="D48" i="30"/>
  <c r="C48" i="30"/>
  <c r="D47" i="30"/>
  <c r="C47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34" i="30"/>
  <c r="E33" i="30"/>
  <c r="E32" i="30"/>
  <c r="E31" i="30"/>
  <c r="E30" i="30"/>
  <c r="E48" i="30" s="1"/>
  <c r="E29" i="30"/>
  <c r="E28" i="30"/>
  <c r="E27" i="30"/>
  <c r="E26" i="30"/>
  <c r="E25" i="30"/>
  <c r="E24" i="30"/>
  <c r="E23" i="30"/>
  <c r="E22" i="30"/>
  <c r="E21" i="30"/>
  <c r="E20" i="30"/>
  <c r="E19" i="30"/>
  <c r="E18" i="30"/>
  <c r="E17" i="30"/>
  <c r="E16" i="30"/>
  <c r="E15" i="30"/>
  <c r="E14" i="30"/>
  <c r="E13" i="30"/>
  <c r="E12" i="30"/>
  <c r="E11" i="30"/>
  <c r="E10" i="30"/>
  <c r="E9" i="30"/>
  <c r="E8" i="30"/>
  <c r="E7" i="30"/>
  <c r="E6" i="30"/>
  <c r="W44" i="29"/>
  <c r="V44" i="29"/>
  <c r="Q44" i="29"/>
  <c r="P44" i="29"/>
  <c r="U44" i="29"/>
  <c r="T44" i="29"/>
  <c r="S44" i="29"/>
  <c r="R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W3" i="29"/>
  <c r="W4" i="29"/>
  <c r="W5" i="29"/>
  <c r="W6" i="29"/>
  <c r="W7" i="29"/>
  <c r="W8" i="29"/>
  <c r="W9" i="29"/>
  <c r="W10" i="29"/>
  <c r="W11" i="29"/>
  <c r="W12" i="29"/>
  <c r="W13" i="29"/>
  <c r="W14" i="29"/>
  <c r="W15" i="29"/>
  <c r="W16" i="29"/>
  <c r="W17" i="29"/>
  <c r="W18" i="29"/>
  <c r="W19" i="29"/>
  <c r="W20" i="29"/>
  <c r="W21" i="29"/>
  <c r="W22" i="29"/>
  <c r="W23" i="29"/>
  <c r="W24" i="29"/>
  <c r="W25" i="29"/>
  <c r="W26" i="29"/>
  <c r="W27" i="29"/>
  <c r="W28" i="29"/>
  <c r="W29" i="29"/>
  <c r="W30" i="29"/>
  <c r="W31" i="29"/>
  <c r="W32" i="29"/>
  <c r="W33" i="29"/>
  <c r="W34" i="29"/>
  <c r="W35" i="29"/>
  <c r="W36" i="29"/>
  <c r="W37" i="29"/>
  <c r="W38" i="29"/>
  <c r="W39" i="29"/>
  <c r="W40" i="29"/>
  <c r="W41" i="29"/>
  <c r="W42" i="29"/>
  <c r="W43" i="29"/>
  <c r="W2" i="29"/>
  <c r="E6" i="22"/>
  <c r="D46" i="22"/>
  <c r="H47" i="24"/>
  <c r="V47" i="8"/>
  <c r="J47" i="8"/>
  <c r="K47" i="8"/>
  <c r="L47" i="8"/>
  <c r="M47" i="8"/>
  <c r="N47" i="8"/>
  <c r="O47" i="8"/>
  <c r="P47" i="8"/>
  <c r="Q47" i="8"/>
  <c r="R47" i="8"/>
  <c r="S47" i="8"/>
  <c r="T47" i="8"/>
  <c r="U47" i="8"/>
  <c r="H47" i="8"/>
  <c r="I47" i="8"/>
  <c r="D47" i="8"/>
  <c r="E47" i="8"/>
  <c r="F47" i="8"/>
  <c r="G47" i="8"/>
  <c r="C47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C46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C45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C44" i="8"/>
  <c r="D47" i="24"/>
  <c r="E47" i="24"/>
  <c r="F47" i="24"/>
  <c r="G47" i="24"/>
  <c r="I47" i="24"/>
  <c r="J47" i="24"/>
  <c r="K47" i="24"/>
  <c r="L47" i="24"/>
  <c r="M47" i="24"/>
  <c r="N47" i="24"/>
  <c r="O47" i="24"/>
  <c r="P47" i="24"/>
  <c r="Q47" i="24"/>
  <c r="R47" i="24"/>
  <c r="S47" i="24"/>
  <c r="T47" i="24"/>
  <c r="U47" i="24"/>
  <c r="V47" i="24"/>
  <c r="C47" i="24"/>
  <c r="D46" i="24"/>
  <c r="E46" i="24"/>
  <c r="F46" i="24"/>
  <c r="G46" i="24"/>
  <c r="H46" i="24"/>
  <c r="I46" i="24"/>
  <c r="J46" i="24"/>
  <c r="K46" i="24"/>
  <c r="L46" i="24"/>
  <c r="M46" i="24"/>
  <c r="N46" i="24"/>
  <c r="O46" i="24"/>
  <c r="P46" i="24"/>
  <c r="Q46" i="24"/>
  <c r="R46" i="24"/>
  <c r="S46" i="24"/>
  <c r="T46" i="24"/>
  <c r="U46" i="24"/>
  <c r="V46" i="24"/>
  <c r="C46" i="24"/>
  <c r="D45" i="24"/>
  <c r="E45" i="24"/>
  <c r="F45" i="24"/>
  <c r="G45" i="24"/>
  <c r="H45" i="24"/>
  <c r="I45" i="24"/>
  <c r="J45" i="24"/>
  <c r="K45" i="24"/>
  <c r="L45" i="24"/>
  <c r="M45" i="24"/>
  <c r="N45" i="24"/>
  <c r="O45" i="24"/>
  <c r="P45" i="24"/>
  <c r="Q45" i="24"/>
  <c r="R45" i="24"/>
  <c r="S45" i="24"/>
  <c r="T45" i="24"/>
  <c r="U45" i="24"/>
  <c r="V45" i="24"/>
  <c r="C45" i="24"/>
  <c r="D44" i="24"/>
  <c r="E44" i="24"/>
  <c r="F44" i="24"/>
  <c r="G44" i="24"/>
  <c r="H44" i="24"/>
  <c r="I44" i="24"/>
  <c r="J44" i="24"/>
  <c r="K44" i="24"/>
  <c r="L44" i="24"/>
  <c r="M44" i="24"/>
  <c r="N44" i="24"/>
  <c r="O44" i="24"/>
  <c r="P44" i="24"/>
  <c r="Q44" i="24"/>
  <c r="R44" i="24"/>
  <c r="S44" i="24"/>
  <c r="T44" i="24"/>
  <c r="U44" i="24"/>
  <c r="V44" i="24"/>
  <c r="W44" i="24"/>
  <c r="X44" i="24"/>
  <c r="C44" i="24"/>
  <c r="X3" i="24"/>
  <c r="X4" i="24"/>
  <c r="X5" i="24"/>
  <c r="X6" i="24"/>
  <c r="X7" i="24"/>
  <c r="X8" i="24"/>
  <c r="X9" i="24"/>
  <c r="X10" i="24"/>
  <c r="X11" i="24"/>
  <c r="X12" i="24"/>
  <c r="X13" i="24"/>
  <c r="X14" i="24"/>
  <c r="X15" i="24"/>
  <c r="X16" i="24"/>
  <c r="X17" i="24"/>
  <c r="X18" i="24"/>
  <c r="X19" i="24"/>
  <c r="X20" i="24"/>
  <c r="X21" i="24"/>
  <c r="X22" i="24"/>
  <c r="X23" i="24"/>
  <c r="X24" i="24"/>
  <c r="X25" i="24"/>
  <c r="X26" i="24"/>
  <c r="X27" i="24"/>
  <c r="X28" i="24"/>
  <c r="X29" i="24"/>
  <c r="X30" i="24"/>
  <c r="X31" i="24"/>
  <c r="X32" i="24"/>
  <c r="X33" i="24"/>
  <c r="X34" i="24"/>
  <c r="X35" i="24"/>
  <c r="X36" i="24"/>
  <c r="X37" i="24"/>
  <c r="X38" i="24"/>
  <c r="X39" i="24"/>
  <c r="X40" i="24"/>
  <c r="X41" i="24"/>
  <c r="X42" i="24"/>
  <c r="X43" i="24"/>
  <c r="X2" i="24"/>
  <c r="W43" i="24"/>
  <c r="W42" i="24"/>
  <c r="W41" i="24"/>
  <c r="W40" i="24"/>
  <c r="W39" i="24"/>
  <c r="W38" i="24"/>
  <c r="W37" i="24"/>
  <c r="W36" i="24"/>
  <c r="W35" i="24"/>
  <c r="W34" i="24"/>
  <c r="W33" i="24"/>
  <c r="W32" i="24"/>
  <c r="W31" i="24"/>
  <c r="W30" i="24"/>
  <c r="W29" i="24"/>
  <c r="W28" i="24"/>
  <c r="W27" i="24"/>
  <c r="W26" i="24"/>
  <c r="W25" i="24"/>
  <c r="W24" i="24"/>
  <c r="W23" i="24"/>
  <c r="W22" i="24"/>
  <c r="W21" i="24"/>
  <c r="W20" i="24"/>
  <c r="W19" i="24"/>
  <c r="W18" i="24"/>
  <c r="W17" i="24"/>
  <c r="W16" i="24"/>
  <c r="W15" i="24"/>
  <c r="W14" i="24"/>
  <c r="W13" i="24"/>
  <c r="W12" i="24"/>
  <c r="W11" i="24"/>
  <c r="W10" i="24"/>
  <c r="W9" i="24"/>
  <c r="W8" i="24"/>
  <c r="W7" i="24"/>
  <c r="W6" i="24"/>
  <c r="W5" i="24"/>
  <c r="W4" i="24"/>
  <c r="W3" i="24"/>
  <c r="W2" i="24"/>
  <c r="X2" i="8"/>
  <c r="X44" i="8" s="1"/>
  <c r="X3" i="8"/>
  <c r="X5" i="8"/>
  <c r="X6" i="8"/>
  <c r="X7" i="8"/>
  <c r="X9" i="8"/>
  <c r="X10" i="8"/>
  <c r="X8" i="8"/>
  <c r="X11" i="8"/>
  <c r="X12" i="8"/>
  <c r="X13" i="8"/>
  <c r="X14" i="8"/>
  <c r="X15" i="8"/>
  <c r="X16" i="8"/>
  <c r="X17" i="8"/>
  <c r="X19" i="8"/>
  <c r="X18" i="8"/>
  <c r="X21" i="8"/>
  <c r="X22" i="8"/>
  <c r="X20" i="8"/>
  <c r="X23" i="8"/>
  <c r="X24" i="8"/>
  <c r="X26" i="8"/>
  <c r="X27" i="8"/>
  <c r="X25" i="8"/>
  <c r="X28" i="8"/>
  <c r="X30" i="8"/>
  <c r="X29" i="8"/>
  <c r="X31" i="8"/>
  <c r="X32" i="8"/>
  <c r="X34" i="8"/>
  <c r="X33" i="8"/>
  <c r="X35" i="8"/>
  <c r="X36" i="8"/>
  <c r="X37" i="8"/>
  <c r="X38" i="8"/>
  <c r="X40" i="8"/>
  <c r="X39" i="8"/>
  <c r="X41" i="8"/>
  <c r="X42" i="8"/>
  <c r="X43" i="8"/>
  <c r="X4" i="8"/>
  <c r="D48" i="18"/>
  <c r="D47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5" i="18"/>
  <c r="H9" i="7"/>
  <c r="D47" i="22"/>
  <c r="E44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5" i="22"/>
  <c r="E18" i="22"/>
  <c r="E19" i="22"/>
  <c r="E20" i="22"/>
  <c r="E21" i="22"/>
  <c r="E14" i="22"/>
  <c r="E15" i="22"/>
  <c r="E16" i="22"/>
  <c r="E17" i="22"/>
  <c r="E11" i="22"/>
  <c r="E12" i="22"/>
  <c r="E13" i="22"/>
  <c r="E7" i="22"/>
  <c r="E8" i="22"/>
  <c r="E9" i="22"/>
  <c r="E10" i="22"/>
  <c r="E5" i="22"/>
  <c r="E47" i="22" s="1"/>
  <c r="C47" i="22"/>
  <c r="C46" i="22"/>
  <c r="C44" i="1"/>
  <c r="D44" i="7"/>
  <c r="E44" i="7"/>
  <c r="F44" i="7"/>
  <c r="G44" i="7"/>
  <c r="C44" i="7"/>
  <c r="D43" i="7"/>
  <c r="E43" i="7"/>
  <c r="F43" i="7"/>
  <c r="G43" i="7"/>
  <c r="C43" i="7"/>
  <c r="D44" i="6"/>
  <c r="E44" i="6"/>
  <c r="F44" i="6"/>
  <c r="G44" i="6"/>
  <c r="C44" i="6"/>
  <c r="D43" i="6"/>
  <c r="E43" i="6"/>
  <c r="F43" i="6"/>
  <c r="G43" i="6"/>
  <c r="C43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2" i="6"/>
  <c r="C48" i="18"/>
  <c r="C47" i="18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2" i="5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D45" i="5"/>
  <c r="E45" i="5"/>
  <c r="F45" i="5"/>
  <c r="G45" i="5"/>
  <c r="C45" i="5"/>
  <c r="D44" i="5"/>
  <c r="E44" i="5"/>
  <c r="F44" i="5"/>
  <c r="G44" i="5"/>
  <c r="C44" i="5"/>
  <c r="D45" i="1"/>
  <c r="E45" i="1"/>
  <c r="F45" i="1"/>
  <c r="G45" i="1"/>
  <c r="C45" i="1"/>
  <c r="G44" i="1"/>
  <c r="F44" i="1"/>
  <c r="E44" i="1"/>
  <c r="D44" i="1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2" i="10"/>
  <c r="F2" i="9"/>
  <c r="F7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3" i="9"/>
  <c r="F4" i="9"/>
  <c r="F5" i="9"/>
  <c r="F6" i="9"/>
  <c r="W40" i="8"/>
  <c r="W39" i="8"/>
  <c r="W36" i="8"/>
  <c r="W16" i="8"/>
  <c r="W43" i="8"/>
  <c r="W3" i="8"/>
  <c r="W4" i="8"/>
  <c r="W5" i="8"/>
  <c r="W6" i="8"/>
  <c r="W7" i="8"/>
  <c r="W8" i="8"/>
  <c r="W9" i="8"/>
  <c r="W10" i="8"/>
  <c r="W11" i="8"/>
  <c r="W12" i="8"/>
  <c r="W13" i="8"/>
  <c r="W14" i="8"/>
  <c r="W15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7" i="8"/>
  <c r="W38" i="8"/>
  <c r="W41" i="8"/>
  <c r="W42" i="8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8" i="7"/>
  <c r="H7" i="7"/>
  <c r="H6" i="7"/>
  <c r="H5" i="7"/>
  <c r="H4" i="7"/>
  <c r="H3" i="7"/>
  <c r="H2" i="7"/>
  <c r="E48" i="18" l="1"/>
  <c r="L46" i="30"/>
  <c r="L47" i="30"/>
  <c r="E47" i="30"/>
  <c r="E47" i="18"/>
  <c r="E46" i="22"/>
  <c r="H43" i="6"/>
  <c r="H44" i="6"/>
  <c r="H44" i="7"/>
  <c r="H43" i="7"/>
  <c r="H45" i="1"/>
  <c r="H44" i="1"/>
  <c r="H44" i="5"/>
  <c r="H45" i="5"/>
</calcChain>
</file>

<file path=xl/sharedStrings.xml><?xml version="1.0" encoding="utf-8"?>
<sst xmlns="http://schemas.openxmlformats.org/spreadsheetml/2006/main" count="1970" uniqueCount="284">
  <si>
    <t>Ahmad Aji Bahri</t>
  </si>
  <si>
    <t>Achmad Rasya Azzami</t>
  </si>
  <si>
    <t>Adhyasta Yusuf Pratama</t>
  </si>
  <si>
    <t>Aerilyn Nadira Vebie. P</t>
  </si>
  <si>
    <t>Ahmad Bian</t>
  </si>
  <si>
    <t>Ahmad Azzam Aditya. P</t>
  </si>
  <si>
    <t>Ahmad Fahmi Dwi Putra</t>
  </si>
  <si>
    <t>Aida Huraiyah Azzahra</t>
  </si>
  <si>
    <t xml:space="preserve">Ainun Anindya </t>
  </si>
  <si>
    <t>Azka Aidric</t>
  </si>
  <si>
    <t>Azzam Khairul Fadli</t>
  </si>
  <si>
    <t>Bagus Dwi Pradhitya</t>
  </si>
  <si>
    <t>Davin Abriyanto</t>
  </si>
  <si>
    <t>Devita Maharani</t>
  </si>
  <si>
    <t>Dhimitri Al Moses</t>
  </si>
  <si>
    <t>Disti Divia Amabel. P</t>
  </si>
  <si>
    <t>Dwi Ayu Kemuning</t>
  </si>
  <si>
    <t>Dyah Ayu Permata. R</t>
  </si>
  <si>
    <t>Ellisya Annisa Fatanah</t>
  </si>
  <si>
    <t>Kinaya Putri Atayasha</t>
  </si>
  <si>
    <t>Kurnia Aditya Ramadhan</t>
  </si>
  <si>
    <t>Luthfi Sakhi Zunnur'ain</t>
  </si>
  <si>
    <t>M. Bilal Al Kahfi</t>
  </si>
  <si>
    <t>M. Ibrahim Al Zidan</t>
  </si>
  <si>
    <t>Maulana Rizki Ramadhan</t>
  </si>
  <si>
    <t>Mawar Fitri Handayani</t>
  </si>
  <si>
    <t xml:space="preserve">Moch. Syafiq </t>
  </si>
  <si>
    <t>Muhamad Zakaria</t>
  </si>
  <si>
    <t xml:space="preserve"> Muhamad Abizar</t>
  </si>
  <si>
    <t>Muhammad Adrian. S</t>
  </si>
  <si>
    <t>Nada Rizkia Aleejah</t>
  </si>
  <si>
    <t>Nafilah Khansa. A. Y.</t>
  </si>
  <si>
    <t>Nagita Adelia</t>
  </si>
  <si>
    <t>Nayaka Al Fath Yulis</t>
  </si>
  <si>
    <t>Nayla Hasna Amira</t>
  </si>
  <si>
    <t>Nella Masryla</t>
  </si>
  <si>
    <t>Novan Hidayat</t>
  </si>
  <si>
    <t>Nurkhazanah Amelia</t>
  </si>
  <si>
    <t xml:space="preserve"> Putra Arjuna Pratama</t>
  </si>
  <si>
    <t>Rahman Akhmal Junaedi</t>
  </si>
  <si>
    <t>Rafandra</t>
  </si>
  <si>
    <t>soal 1</t>
  </si>
  <si>
    <t>soal 2</t>
  </si>
  <si>
    <t>soal 3</t>
  </si>
  <si>
    <t>soal 4</t>
  </si>
  <si>
    <t>soal 5</t>
  </si>
  <si>
    <t>Adelia Prislia Andika</t>
  </si>
  <si>
    <t xml:space="preserve"> Nama</t>
  </si>
  <si>
    <t>No</t>
  </si>
  <si>
    <t>Nilai</t>
  </si>
  <si>
    <t>Muhamad Abizar</t>
  </si>
  <si>
    <t>Nama</t>
  </si>
  <si>
    <t xml:space="preserve"> Ahmad Aji Bahri</t>
  </si>
  <si>
    <t>Adelia Prisilia Andika</t>
  </si>
  <si>
    <t>Ainun Anindya</t>
  </si>
  <si>
    <t>Dyah Ayu Permata. P</t>
  </si>
  <si>
    <t>Moch. Syafiq</t>
  </si>
  <si>
    <t>Nafilah Khansa. A.Y</t>
  </si>
  <si>
    <t>Putra Arjuna Pratama</t>
  </si>
  <si>
    <t>Soal 1</t>
  </si>
  <si>
    <t>Soal 4</t>
  </si>
  <si>
    <t>Akbar Rizky Ramadhan</t>
  </si>
  <si>
    <t>Akhmad Azka Firmansyah</t>
  </si>
  <si>
    <t>Alika Naila Putri</t>
  </si>
  <si>
    <t>Alvin Putra Pratista</t>
  </si>
  <si>
    <t>Anindya Nahdya Mikaila</t>
  </si>
  <si>
    <t>Ardianto Dwi Putra</t>
  </si>
  <si>
    <t>Arsakha Virendra Pratama</t>
  </si>
  <si>
    <t>Asan Saputra Sugianto</t>
  </si>
  <si>
    <t>Aswan Eka Saputra</t>
  </si>
  <si>
    <t>Asyila Nadiya Putri</t>
  </si>
  <si>
    <t>Aulia Sarah</t>
  </si>
  <si>
    <t>Galih Maulana Rosady</t>
  </si>
  <si>
    <t>Gibran Tadzarni Fardhan</t>
  </si>
  <si>
    <t>Gusti Afif Firdaus</t>
  </si>
  <si>
    <t>Habib Alwi Setiawan</t>
  </si>
  <si>
    <t>Hikmah Rahmadani Ainun Mahya</t>
  </si>
  <si>
    <t>Iffa Astila Rahma</t>
  </si>
  <si>
    <t>Kalila Artha Nacita</t>
  </si>
  <si>
    <t>Khanzana Ridha Nayla</t>
  </si>
  <si>
    <t>Muhammad Iqbal Rizky</t>
  </si>
  <si>
    <t>Muhammad Kenzo Pramudya</t>
  </si>
  <si>
    <t>Muhammad Rafif Al Kapi</t>
  </si>
  <si>
    <t>Muhammad Rayhan</t>
  </si>
  <si>
    <t>Muhammad Rizky Fadillah</t>
  </si>
  <si>
    <t>Muhammad Yura Adzikri</t>
  </si>
  <si>
    <t>Mukamad Arafat Rocmansa</t>
  </si>
  <si>
    <t>Mutiara Cinta Atnariani</t>
  </si>
  <si>
    <t>Nabil El Stilrazy</t>
  </si>
  <si>
    <t>Siti Rahaadatul Aisyiyyah</t>
  </si>
  <si>
    <t>Syahwalia Khairunnisa</t>
  </si>
  <si>
    <t>Syamsul Arifin</t>
  </si>
  <si>
    <t>Tessa Sasmita</t>
  </si>
  <si>
    <t>Westri Puji Insani</t>
  </si>
  <si>
    <t>Yafiq Annadim Rafif</t>
  </si>
  <si>
    <t>Zahira Rorinda Saputri</t>
  </si>
  <si>
    <t xml:space="preserve">Zhafran Khairy Rahim </t>
  </si>
  <si>
    <t>Zulfadhli Fayyadh</t>
  </si>
  <si>
    <t>Zulfadhli Fayyadh. F</t>
  </si>
  <si>
    <t>Haykal Aditia Pertama</t>
  </si>
  <si>
    <t>Gusti Adis Syami Kamil</t>
  </si>
  <si>
    <t>Afifah Hilya Ramadhani</t>
  </si>
  <si>
    <t>no</t>
  </si>
  <si>
    <t>nama</t>
  </si>
  <si>
    <t>nilai</t>
  </si>
  <si>
    <t>Pertanyaan</t>
  </si>
  <si>
    <t>Jawaban</t>
  </si>
  <si>
    <t xml:space="preserve">Ya </t>
  </si>
  <si>
    <t>Tidak</t>
  </si>
  <si>
    <t xml:space="preserve">1. </t>
  </si>
  <si>
    <t>1. apakah kalian tau apa itu energi?</t>
  </si>
  <si>
    <t>√</t>
  </si>
  <si>
    <t>2. apakah kalian tau sumber energi dapat dari mana saja?</t>
  </si>
  <si>
    <r>
      <rPr>
        <sz val="11"/>
        <color theme="1"/>
        <rFont val="SimSun"/>
      </rPr>
      <t xml:space="preserve"> </t>
    </r>
    <r>
      <rPr>
        <sz val="11"/>
        <color theme="1"/>
        <rFont val="Calibri"/>
        <family val="2"/>
      </rPr>
      <t>×</t>
    </r>
  </si>
  <si>
    <t>3. apakah kalian tau apa saja bentuk perubahan energi yang ada dilingkungan sekitar?</t>
  </si>
  <si>
    <t xml:space="preserve">4. apakah kalian sudah siap melaksanakan pembelajaran dengan kelompok? </t>
  </si>
  <si>
    <t xml:space="preserve">2. </t>
  </si>
  <si>
    <t>×</t>
  </si>
  <si>
    <t>4. apakah kalian sudah siap melaksanakan pembelajaran dengan kelompok?</t>
  </si>
  <si>
    <t xml:space="preserve">3. </t>
  </si>
  <si>
    <t>4. apakah kalian sudah siap melaksakan pembelajaran dengan kelompok?</t>
  </si>
  <si>
    <t xml:space="preserve">4. </t>
  </si>
  <si>
    <t xml:space="preserve">5. </t>
  </si>
  <si>
    <t>Aerilyn Nadika Vebie. P</t>
  </si>
  <si>
    <t xml:space="preserve">6. </t>
  </si>
  <si>
    <t>Ahmad Abian</t>
  </si>
  <si>
    <t xml:space="preserve">7. </t>
  </si>
  <si>
    <t xml:space="preserve">8. </t>
  </si>
  <si>
    <t xml:space="preserve"> Ahmad Fahmi Dwi Putra</t>
  </si>
  <si>
    <t xml:space="preserve">9. </t>
  </si>
  <si>
    <t xml:space="preserve">10. </t>
  </si>
  <si>
    <t xml:space="preserve">11. </t>
  </si>
  <si>
    <t>Azka Aldric</t>
  </si>
  <si>
    <t xml:space="preserve">12. </t>
  </si>
  <si>
    <t xml:space="preserve">13. </t>
  </si>
  <si>
    <t>Bagas Dwi Pradhitya</t>
  </si>
  <si>
    <t xml:space="preserve">14. </t>
  </si>
  <si>
    <t>15.</t>
  </si>
  <si>
    <t xml:space="preserve">16. </t>
  </si>
  <si>
    <t xml:space="preserve">17. </t>
  </si>
  <si>
    <t xml:space="preserve">2. apakah kalian tau sumber energi dapat dari mana saja? </t>
  </si>
  <si>
    <t xml:space="preserve">18. </t>
  </si>
  <si>
    <t xml:space="preserve"> Dwi Ayu Kemuning</t>
  </si>
  <si>
    <t xml:space="preserve">19. </t>
  </si>
  <si>
    <t>20.</t>
  </si>
  <si>
    <t xml:space="preserve"> Ellisya Annisa Fatanah</t>
  </si>
  <si>
    <t>21.</t>
  </si>
  <si>
    <t>3. apakah kalian tau apa saja bentuk perubahan energi yang ada di lingkungan sekitar?</t>
  </si>
  <si>
    <t xml:space="preserve">22. </t>
  </si>
  <si>
    <t xml:space="preserve">23. </t>
  </si>
  <si>
    <t xml:space="preserve">24. </t>
  </si>
  <si>
    <t xml:space="preserve">25. </t>
  </si>
  <si>
    <t>26.</t>
  </si>
  <si>
    <t xml:space="preserve">27. </t>
  </si>
  <si>
    <t>28.</t>
  </si>
  <si>
    <t xml:space="preserve">29. </t>
  </si>
  <si>
    <t xml:space="preserve">30. </t>
  </si>
  <si>
    <t xml:space="preserve">31. </t>
  </si>
  <si>
    <t xml:space="preserve">32. </t>
  </si>
  <si>
    <t xml:space="preserve">33. </t>
  </si>
  <si>
    <t>Nafiah Khansa. A. Y</t>
  </si>
  <si>
    <t xml:space="preserve">1. apakah kalian tau apa itu energi? </t>
  </si>
  <si>
    <t xml:space="preserve">34. </t>
  </si>
  <si>
    <t xml:space="preserve">35. </t>
  </si>
  <si>
    <t>Nayaka Al Fatih Yulis</t>
  </si>
  <si>
    <t xml:space="preserve">36. </t>
  </si>
  <si>
    <t xml:space="preserve">37. </t>
  </si>
  <si>
    <t>Nella Marsyia</t>
  </si>
  <si>
    <t xml:space="preserve">38. </t>
  </si>
  <si>
    <t xml:space="preserve">39. </t>
  </si>
  <si>
    <t>Nur Khazanah Amelia</t>
  </si>
  <si>
    <t xml:space="preserve">40. </t>
  </si>
  <si>
    <t xml:space="preserve">41. </t>
  </si>
  <si>
    <t xml:space="preserve">42. </t>
  </si>
  <si>
    <t>Jumlah</t>
  </si>
  <si>
    <t>ASESMEN PENILAIAN PESERTA DIDIK KELAS EKSPERIMEN</t>
  </si>
  <si>
    <t>ASESMEN PENILAIAN PESERTA DIDIK KELAS KONTROL</t>
  </si>
  <si>
    <t>soal 6</t>
  </si>
  <si>
    <t>soal 7</t>
  </si>
  <si>
    <t xml:space="preserve">Nilai </t>
  </si>
  <si>
    <t>jumlah</t>
  </si>
  <si>
    <t>soal 8</t>
  </si>
  <si>
    <t>soal 9</t>
  </si>
  <si>
    <t>soal 10</t>
  </si>
  <si>
    <t>soal 11</t>
  </si>
  <si>
    <t>soal 12</t>
  </si>
  <si>
    <t>soal 13</t>
  </si>
  <si>
    <t>soal 14</t>
  </si>
  <si>
    <t>soal 15</t>
  </si>
  <si>
    <t>soal 16</t>
  </si>
  <si>
    <t>soal 17</t>
  </si>
  <si>
    <t>soal 18</t>
  </si>
  <si>
    <t>soal 19</t>
  </si>
  <si>
    <t>soal 20</t>
  </si>
  <si>
    <t xml:space="preserve"> KELAS EKSPERIMEN</t>
  </si>
  <si>
    <t>kode siswa</t>
  </si>
  <si>
    <t xml:space="preserve">Pre-Test </t>
  </si>
  <si>
    <t>Post-Test</t>
  </si>
  <si>
    <t>N- Gain</t>
  </si>
  <si>
    <t>Kriteria</t>
  </si>
  <si>
    <t>TINGGI</t>
  </si>
  <si>
    <t>KELAS KONTROL</t>
  </si>
  <si>
    <t>Rata-Rata</t>
  </si>
  <si>
    <t>Soal 2</t>
  </si>
  <si>
    <t>Soal 3</t>
  </si>
  <si>
    <t xml:space="preserve"> Soal 5</t>
  </si>
  <si>
    <t>Kode Siswa</t>
  </si>
  <si>
    <t>N-Gain</t>
  </si>
  <si>
    <t>SEDANG</t>
  </si>
  <si>
    <t xml:space="preserve">SEDANG </t>
  </si>
  <si>
    <t xml:space="preserve">RENDAH </t>
  </si>
  <si>
    <t xml:space="preserve">TINGGI </t>
  </si>
  <si>
    <t>RENDAH</t>
  </si>
  <si>
    <t xml:space="preserve">Skor </t>
  </si>
  <si>
    <t>Rata-rata</t>
  </si>
  <si>
    <t>Skor max</t>
  </si>
  <si>
    <t>Kategori</t>
  </si>
  <si>
    <t>Sangat baik</t>
  </si>
  <si>
    <t>Baik</t>
  </si>
  <si>
    <t>No urut</t>
  </si>
  <si>
    <t>Pre Test</t>
  </si>
  <si>
    <t>Post Test</t>
  </si>
  <si>
    <t>Kelas Kontrol</t>
  </si>
  <si>
    <t>n-Gain</t>
  </si>
  <si>
    <t>Kelas eksperimen</t>
  </si>
  <si>
    <t>.75</t>
  </si>
  <si>
    <t>.80</t>
  </si>
  <si>
    <t>.60</t>
  </si>
  <si>
    <t>.67</t>
  </si>
  <si>
    <t>.88</t>
  </si>
  <si>
    <t>.86</t>
  </si>
  <si>
    <t>.83</t>
  </si>
  <si>
    <t>.50</t>
  </si>
  <si>
    <t>.40</t>
  </si>
  <si>
    <t>.33</t>
  </si>
  <si>
    <t>.71</t>
  </si>
  <si>
    <t>.63</t>
  </si>
  <si>
    <t>Case Processing Summary</t>
  </si>
  <si>
    <t>Kelas</t>
  </si>
  <si>
    <t>Cases</t>
  </si>
  <si>
    <t>Valid</t>
  </si>
  <si>
    <t>Missing</t>
  </si>
  <si>
    <t>Total</t>
  </si>
  <si>
    <t>N</t>
  </si>
  <si>
    <t>Percent</t>
  </si>
  <si>
    <t>n_Gain</t>
  </si>
  <si>
    <t>Eksperimen</t>
  </si>
  <si>
    <t>Kontrol</t>
  </si>
  <si>
    <t>Descriptives</t>
  </si>
  <si>
    <t>Statistic</t>
  </si>
  <si>
    <t>Std. Error</t>
  </si>
  <si>
    <t>Mean</t>
  </si>
  <si>
    <t>95% Confidence Interval for Mean</t>
  </si>
  <si>
    <t>Lower Bound</t>
  </si>
  <si>
    <t>Upper Bound</t>
  </si>
  <si>
    <t>5% Trimmed Mean</t>
  </si>
  <si>
    <t>Median</t>
  </si>
  <si>
    <t>Variance</t>
  </si>
  <si>
    <t>Std. Deviation</t>
  </si>
  <si>
    <t>Minimum</t>
  </si>
  <si>
    <t>Maximum</t>
  </si>
  <si>
    <t>Range</t>
  </si>
  <si>
    <t>Interquartile Range</t>
  </si>
  <si>
    <t>Skewness</t>
  </si>
  <si>
    <t>Kurtosis</t>
  </si>
  <si>
    <t>Lampiran Analisis Data N-Gain</t>
  </si>
  <si>
    <t>Stem-and-Leaf Plots</t>
  </si>
  <si>
    <t>n_Gain Stem-and-Leaf Plot for</t>
  </si>
  <si>
    <t>Kelompok= Eksperimen</t>
  </si>
  <si>
    <t xml:space="preserve"> Frequency    Stem &amp;  Leaf</t>
  </si>
  <si>
    <t xml:space="preserve">     2,00 Extremes    (=&lt;,40)</t>
  </si>
  <si>
    <t xml:space="preserve">     1,00        5 .  0</t>
  </si>
  <si>
    <t xml:space="preserve">      ,00        5 .</t>
  </si>
  <si>
    <t xml:space="preserve">     3,00        6 .  002</t>
  </si>
  <si>
    <t xml:space="preserve">     9,00        6 .  666666666</t>
  </si>
  <si>
    <t xml:space="preserve">     2,00        7 .  11</t>
  </si>
  <si>
    <t xml:space="preserve">     4,00        7 .  5555</t>
  </si>
  <si>
    <t xml:space="preserve">    13,00        8 .  0000333333333</t>
  </si>
  <si>
    <t xml:space="preserve">     8,00        8 .  55577777</t>
  </si>
  <si>
    <t xml:space="preserve"> Stem width:       ,10</t>
  </si>
  <si>
    <t xml:space="preserve"> Each leaf:       1 case(s)</t>
  </si>
  <si>
    <t>rHitung</t>
  </si>
  <si>
    <t>rTabel</t>
  </si>
  <si>
    <t>v/t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</si>
</sst>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##0"/>
    <numFmt numFmtId="165" formatCode="###0.0%"/>
    <numFmt numFmtId="166" formatCode="####.0000"/>
    <numFmt numFmtId="167" formatCode="####.00000"/>
    <numFmt numFmtId="168" formatCode="####.000"/>
    <numFmt numFmtId="169" formatCode="####.00"/>
    <numFmt numFmtId="170" formatCode="###0.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SimSun"/>
    </font>
    <font>
      <i/>
      <sz val="11"/>
      <color theme="1"/>
      <name val="Calibri"/>
      <family val="2"/>
      <scheme val="minor"/>
    </font>
    <font>
      <b/>
      <sz val="9"/>
      <color indexed="8"/>
      <name val="Arial Bold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name val="Arial"/>
      <family val="2"/>
    </font>
    <font>
      <sz val="9"/>
      <color indexed="8"/>
      <name val="Arial"/>
      <family val="2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indexed="8"/>
      <name val="Arial Bold"/>
    </font>
    <font>
      <sz val="11"/>
      <name val="Arial"/>
      <family val="2"/>
    </font>
    <font>
      <b/>
      <sz val="12"/>
      <color indexed="8"/>
      <name val="Times New Roman"/>
      <family val="1"/>
    </font>
    <font>
      <sz val="11"/>
      <color indexed="8"/>
      <name val="Courier New"/>
      <family val="3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/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10" fillId="0" borderId="0"/>
  </cellStyleXfs>
  <cellXfs count="13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4" fillId="4" borderId="1" xfId="0" applyFont="1" applyFill="1" applyBorder="1" applyAlignment="1">
      <alignment horizontal="center"/>
    </xf>
    <xf numFmtId="0" fontId="0" fillId="4" borderId="4" xfId="0" applyFill="1" applyBorder="1"/>
    <xf numFmtId="0" fontId="4" fillId="4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4" fillId="4" borderId="1" xfId="0" applyFont="1" applyFill="1" applyBorder="1"/>
    <xf numFmtId="0" fontId="3" fillId="3" borderId="5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0" fontId="0" fillId="5" borderId="1" xfId="0" applyFill="1" applyBorder="1"/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0" fontId="0" fillId="6" borderId="1" xfId="0" applyFill="1" applyBorder="1"/>
    <xf numFmtId="0" fontId="1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" fillId="0" borderId="0" xfId="0" applyFont="1" applyAlignment="1">
      <alignment horizontal="left"/>
    </xf>
    <xf numFmtId="2" fontId="0" fillId="0" borderId="1" xfId="0" applyNumberForma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2" fontId="0" fillId="0" borderId="1" xfId="0" applyNumberFormat="1" applyBorder="1"/>
    <xf numFmtId="0" fontId="0" fillId="8" borderId="4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1" fontId="1" fillId="4" borderId="1" xfId="0" applyNumberFormat="1" applyFon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3" fillId="0" borderId="0" xfId="0" applyFont="1"/>
    <xf numFmtId="0" fontId="0" fillId="2" borderId="1" xfId="0" applyFill="1" applyBorder="1"/>
    <xf numFmtId="2" fontId="0" fillId="2" borderId="1" xfId="0" applyNumberFormat="1" applyFill="1" applyBorder="1"/>
    <xf numFmtId="0" fontId="0" fillId="0" borderId="2" xfId="0" applyBorder="1"/>
    <xf numFmtId="0" fontId="10" fillId="0" borderId="0" xfId="1"/>
    <xf numFmtId="0" fontId="11" fillId="0" borderId="19" xfId="1" applyFont="1" applyBorder="1" applyAlignment="1">
      <alignment horizontal="center" wrapText="1"/>
    </xf>
    <xf numFmtId="0" fontId="11" fillId="0" borderId="20" xfId="1" applyFont="1" applyBorder="1" applyAlignment="1">
      <alignment horizontal="center" wrapText="1"/>
    </xf>
    <xf numFmtId="0" fontId="11" fillId="0" borderId="21" xfId="1" applyFont="1" applyBorder="1" applyAlignment="1">
      <alignment horizontal="center" wrapText="1"/>
    </xf>
    <xf numFmtId="0" fontId="11" fillId="0" borderId="9" xfId="1" applyFont="1" applyBorder="1" applyAlignment="1">
      <alignment horizontal="left" vertical="top" wrapText="1"/>
    </xf>
    <xf numFmtId="164" fontId="11" fillId="0" borderId="23" xfId="1" applyNumberFormat="1" applyFont="1" applyBorder="1" applyAlignment="1">
      <alignment horizontal="right" vertical="center"/>
    </xf>
    <xf numFmtId="165" fontId="11" fillId="0" borderId="24" xfId="1" applyNumberFormat="1" applyFont="1" applyBorder="1" applyAlignment="1">
      <alignment horizontal="right" vertical="center"/>
    </xf>
    <xf numFmtId="164" fontId="11" fillId="0" borderId="24" xfId="1" applyNumberFormat="1" applyFont="1" applyBorder="1" applyAlignment="1">
      <alignment horizontal="right" vertical="center"/>
    </xf>
    <xf numFmtId="165" fontId="11" fillId="0" borderId="25" xfId="1" applyNumberFormat="1" applyFont="1" applyBorder="1" applyAlignment="1">
      <alignment horizontal="right" vertical="center"/>
    </xf>
    <xf numFmtId="0" fontId="11" fillId="0" borderId="18" xfId="1" applyFont="1" applyBorder="1" applyAlignment="1">
      <alignment horizontal="left" vertical="top" wrapText="1"/>
    </xf>
    <xf numFmtId="164" fontId="11" fillId="0" borderId="26" xfId="1" applyNumberFormat="1" applyFont="1" applyBorder="1" applyAlignment="1">
      <alignment horizontal="right" vertical="center"/>
    </xf>
    <xf numFmtId="165" fontId="11" fillId="0" borderId="27" xfId="1" applyNumberFormat="1" applyFont="1" applyBorder="1" applyAlignment="1">
      <alignment horizontal="right" vertical="center"/>
    </xf>
    <xf numFmtId="164" fontId="11" fillId="0" borderId="27" xfId="1" applyNumberFormat="1" applyFont="1" applyBorder="1" applyAlignment="1">
      <alignment horizontal="right" vertical="center"/>
    </xf>
    <xf numFmtId="165" fontId="11" fillId="0" borderId="28" xfId="1" applyNumberFormat="1" applyFont="1" applyBorder="1" applyAlignment="1">
      <alignment horizontal="right" vertical="center"/>
    </xf>
    <xf numFmtId="166" fontId="11" fillId="0" borderId="10" xfId="1" applyNumberFormat="1" applyFont="1" applyBorder="1" applyAlignment="1">
      <alignment horizontal="right" vertical="center"/>
    </xf>
    <xf numFmtId="167" fontId="11" fillId="0" borderId="11" xfId="1" applyNumberFormat="1" applyFont="1" applyBorder="1" applyAlignment="1">
      <alignment horizontal="right" vertical="center"/>
    </xf>
    <xf numFmtId="0" fontId="11" fillId="0" borderId="13" xfId="1" applyFont="1" applyBorder="1" applyAlignment="1">
      <alignment horizontal="left" vertical="top" wrapText="1"/>
    </xf>
    <xf numFmtId="166" fontId="11" fillId="0" borderId="32" xfId="1" applyNumberFormat="1" applyFont="1" applyBorder="1" applyAlignment="1">
      <alignment horizontal="right" vertical="center"/>
    </xf>
    <xf numFmtId="0" fontId="11" fillId="0" borderId="33" xfId="1" applyFont="1" applyBorder="1" applyAlignment="1">
      <alignment horizontal="left" vertical="center" wrapText="1"/>
    </xf>
    <xf numFmtId="0" fontId="11" fillId="0" borderId="34" xfId="1" applyFont="1" applyBorder="1" applyAlignment="1">
      <alignment horizontal="left" vertical="top" wrapText="1"/>
    </xf>
    <xf numFmtId="166" fontId="11" fillId="0" borderId="35" xfId="1" applyNumberFormat="1" applyFont="1" applyBorder="1" applyAlignment="1">
      <alignment horizontal="right" vertical="center"/>
    </xf>
    <xf numFmtId="0" fontId="11" fillId="0" borderId="36" xfId="1" applyFont="1" applyBorder="1" applyAlignment="1">
      <alignment horizontal="left" vertical="center" wrapText="1"/>
    </xf>
    <xf numFmtId="168" fontId="11" fillId="0" borderId="35" xfId="1" applyNumberFormat="1" applyFont="1" applyBorder="1" applyAlignment="1">
      <alignment horizontal="right" vertical="center"/>
    </xf>
    <xf numFmtId="167" fontId="11" fillId="0" borderId="35" xfId="1" applyNumberFormat="1" applyFont="1" applyBorder="1" applyAlignment="1">
      <alignment horizontal="right" vertical="center"/>
    </xf>
    <xf numFmtId="169" fontId="11" fillId="0" borderId="35" xfId="1" applyNumberFormat="1" applyFont="1" applyBorder="1" applyAlignment="1">
      <alignment horizontal="right" vertical="center"/>
    </xf>
    <xf numFmtId="170" fontId="11" fillId="0" borderId="35" xfId="1" applyNumberFormat="1" applyFont="1" applyBorder="1" applyAlignment="1">
      <alignment horizontal="right" vertical="center"/>
    </xf>
    <xf numFmtId="168" fontId="11" fillId="0" borderId="36" xfId="1" applyNumberFormat="1" applyFont="1" applyBorder="1" applyAlignment="1">
      <alignment horizontal="right" vertical="center"/>
    </xf>
    <xf numFmtId="167" fontId="11" fillId="0" borderId="36" xfId="1" applyNumberFormat="1" applyFont="1" applyBorder="1" applyAlignment="1">
      <alignment horizontal="right" vertical="center"/>
    </xf>
    <xf numFmtId="170" fontId="11" fillId="0" borderId="26" xfId="1" applyNumberFormat="1" applyFont="1" applyBorder="1" applyAlignment="1">
      <alignment horizontal="right" vertical="center"/>
    </xf>
    <xf numFmtId="168" fontId="11" fillId="0" borderId="28" xfId="1" applyNumberFormat="1" applyFont="1" applyBorder="1" applyAlignment="1">
      <alignment horizontal="right" vertical="center"/>
    </xf>
    <xf numFmtId="0" fontId="11" fillId="0" borderId="26" xfId="1" applyFont="1" applyBorder="1" applyAlignment="1">
      <alignment horizontal="center" wrapText="1"/>
    </xf>
    <xf numFmtId="0" fontId="11" fillId="0" borderId="28" xfId="1" applyFont="1" applyBorder="1" applyAlignment="1">
      <alignment horizontal="center" wrapText="1"/>
    </xf>
    <xf numFmtId="0" fontId="15" fillId="0" borderId="0" xfId="1" applyFont="1"/>
    <xf numFmtId="0" fontId="17" fillId="0" borderId="0" xfId="1" applyFont="1"/>
    <xf numFmtId="0" fontId="10" fillId="0" borderId="1" xfId="1" applyBorder="1"/>
    <xf numFmtId="2" fontId="0" fillId="0" borderId="3" xfId="0" applyNumberFormat="1" applyBorder="1"/>
    <xf numFmtId="0" fontId="0" fillId="0" borderId="3" xfId="0" applyBorder="1"/>
    <xf numFmtId="0" fontId="0" fillId="2" borderId="4" xfId="0" applyFill="1" applyBorder="1" applyAlignment="1">
      <alignment horizontal="center"/>
    </xf>
    <xf numFmtId="0" fontId="0" fillId="2" borderId="4" xfId="0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2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 wrapText="1"/>
    </xf>
    <xf numFmtId="0" fontId="11" fillId="0" borderId="17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35" xfId="1" applyFont="1" applyBorder="1" applyAlignment="1">
      <alignment horizontal="center" wrapText="1"/>
    </xf>
    <xf numFmtId="0" fontId="11" fillId="0" borderId="38" xfId="1" applyFont="1" applyBorder="1" applyAlignment="1">
      <alignment horizontal="center" wrapText="1"/>
    </xf>
    <xf numFmtId="0" fontId="11" fillId="0" borderId="36" xfId="1" applyFont="1" applyBorder="1" applyAlignment="1">
      <alignment horizontal="center" wrapText="1"/>
    </xf>
    <xf numFmtId="0" fontId="11" fillId="0" borderId="14" xfId="1" applyFont="1" applyBorder="1" applyAlignment="1">
      <alignment horizontal="center" wrapText="1"/>
    </xf>
    <xf numFmtId="0" fontId="11" fillId="0" borderId="15" xfId="1" applyFont="1" applyBorder="1" applyAlignment="1">
      <alignment horizontal="center" wrapText="1"/>
    </xf>
    <xf numFmtId="0" fontId="11" fillId="0" borderId="16" xfId="1" applyFont="1" applyBorder="1" applyAlignment="1">
      <alignment horizontal="center" wrapText="1"/>
    </xf>
    <xf numFmtId="0" fontId="11" fillId="0" borderId="31" xfId="1" applyFont="1" applyBorder="1" applyAlignment="1">
      <alignment horizontal="left" vertical="top" wrapText="1"/>
    </xf>
    <xf numFmtId="0" fontId="11" fillId="0" borderId="34" xfId="1" applyFont="1" applyBorder="1" applyAlignment="1">
      <alignment horizontal="left" vertical="top" wrapText="1"/>
    </xf>
    <xf numFmtId="0" fontId="11" fillId="0" borderId="22" xfId="1" applyFont="1" applyBorder="1" applyAlignment="1">
      <alignment horizontal="left" vertical="top" wrapText="1"/>
    </xf>
    <xf numFmtId="0" fontId="11" fillId="0" borderId="17" xfId="1" applyFont="1" applyBorder="1" applyAlignment="1">
      <alignment horizontal="left" vertical="top" wrapText="1"/>
    </xf>
    <xf numFmtId="0" fontId="13" fillId="0" borderId="1" xfId="1" applyFont="1" applyBorder="1" applyAlignment="1">
      <alignment horizontal="center" vertical="center" wrapText="1"/>
    </xf>
    <xf numFmtId="0" fontId="11" fillId="0" borderId="17" xfId="1" applyFont="1" applyBorder="1" applyAlignment="1">
      <alignment horizontal="left" wrapText="1"/>
    </xf>
    <xf numFmtId="0" fontId="11" fillId="0" borderId="37" xfId="1" applyFont="1" applyBorder="1" applyAlignment="1">
      <alignment horizontal="left" wrapText="1"/>
    </xf>
    <xf numFmtId="0" fontId="11" fillId="0" borderId="18" xfId="1" applyFont="1" applyBorder="1" applyAlignment="1">
      <alignment horizontal="left" wrapText="1"/>
    </xf>
    <xf numFmtId="0" fontId="11" fillId="0" borderId="12" xfId="1" applyFont="1" applyBorder="1" applyAlignment="1">
      <alignment horizontal="left" vertical="top" wrapText="1"/>
    </xf>
    <xf numFmtId="0" fontId="11" fillId="0" borderId="29" xfId="1" applyFont="1" applyBorder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1" fillId="0" borderId="30" xfId="1" applyFont="1" applyBorder="1" applyAlignment="1">
      <alignment horizontal="left" vertical="top" wrapText="1"/>
    </xf>
    <xf numFmtId="0" fontId="11" fillId="0" borderId="37" xfId="1" applyFont="1" applyBorder="1" applyAlignment="1">
      <alignment horizontal="left" vertical="top" wrapText="1"/>
    </xf>
    <xf numFmtId="0" fontId="17" fillId="0" borderId="1" xfId="1" applyFont="1" applyBorder="1" applyAlignment="1">
      <alignment horizontal="center"/>
    </xf>
    <xf numFmtId="0" fontId="11" fillId="0" borderId="18" xfId="1" applyFont="1" applyBorder="1" applyAlignment="1">
      <alignment horizontal="left" vertical="top" wrapText="1"/>
    </xf>
    <xf numFmtId="0" fontId="14" fillId="0" borderId="1" xfId="1" applyFont="1" applyBorder="1" applyAlignment="1">
      <alignment horizontal="center"/>
    </xf>
    <xf numFmtId="0" fontId="16" fillId="0" borderId="1" xfId="1" applyFont="1" applyBorder="1" applyAlignment="1">
      <alignment horizontal="center"/>
    </xf>
  </cellXfs>
  <cellStyles count="2">
    <cellStyle name="Normal" xfId="0" builtinId="0"/>
    <cellStyle name="Normal_Sheet3" xfId="1" xr:uid="{78171636-CBD4-43CA-A543-95A23ACDEB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5012F-6D1C-422B-AF12-9FDD019743CE}">
  <dimension ref="A1:XFD45"/>
  <sheetViews>
    <sheetView zoomScale="93" zoomScaleNormal="93" workbookViewId="0">
      <selection activeCell="C12" sqref="C12"/>
    </sheetView>
  </sheetViews>
  <sheetFormatPr defaultRowHeight="14.5" x14ac:dyDescent="0.35"/>
  <cols>
    <col min="2" max="2" width="31.453125" customWidth="1"/>
    <col min="7" max="7" width="11.26953125" customWidth="1"/>
    <col min="8" max="8" width="15.7265625" customWidth="1"/>
    <col min="10" max="10" width="9.1796875" customWidth="1"/>
  </cols>
  <sheetData>
    <row r="1" spans="1:8" ht="15.5" x14ac:dyDescent="0.35">
      <c r="A1" s="36" t="s">
        <v>48</v>
      </c>
      <c r="B1" s="36" t="s">
        <v>47</v>
      </c>
      <c r="C1" s="36" t="s">
        <v>59</v>
      </c>
      <c r="D1" s="36" t="s">
        <v>203</v>
      </c>
      <c r="E1" s="36" t="s">
        <v>204</v>
      </c>
      <c r="F1" s="36" t="s">
        <v>60</v>
      </c>
      <c r="G1" s="36" t="s">
        <v>205</v>
      </c>
      <c r="H1" s="36" t="s">
        <v>49</v>
      </c>
    </row>
    <row r="2" spans="1:8" ht="15.5" x14ac:dyDescent="0.35">
      <c r="A2" s="18">
        <v>1</v>
      </c>
      <c r="B2" s="37" t="s">
        <v>0</v>
      </c>
      <c r="C2" s="18">
        <v>15</v>
      </c>
      <c r="D2" s="18">
        <v>15</v>
      </c>
      <c r="E2" s="18">
        <v>15</v>
      </c>
      <c r="F2" s="18">
        <v>15</v>
      </c>
      <c r="G2" s="18">
        <v>20</v>
      </c>
      <c r="H2" s="38">
        <f>SUM(C2:G2)</f>
        <v>80</v>
      </c>
    </row>
    <row r="3" spans="1:8" ht="15.5" x14ac:dyDescent="0.35">
      <c r="A3" s="18">
        <v>2</v>
      </c>
      <c r="B3" s="37" t="s">
        <v>1</v>
      </c>
      <c r="C3" s="18">
        <v>15</v>
      </c>
      <c r="D3" s="18">
        <v>15</v>
      </c>
      <c r="E3" s="18">
        <v>15</v>
      </c>
      <c r="F3" s="18">
        <v>20</v>
      </c>
      <c r="G3" s="18">
        <v>15</v>
      </c>
      <c r="H3" s="38">
        <f t="shared" ref="H3:H43" si="0">SUM(C3:G3)</f>
        <v>80</v>
      </c>
    </row>
    <row r="4" spans="1:8" ht="15.5" x14ac:dyDescent="0.35">
      <c r="A4" s="18">
        <v>3</v>
      </c>
      <c r="B4" s="37" t="s">
        <v>46</v>
      </c>
      <c r="C4" s="18">
        <v>10</v>
      </c>
      <c r="D4" s="18">
        <v>15</v>
      </c>
      <c r="E4" s="18">
        <v>10</v>
      </c>
      <c r="F4" s="18">
        <v>20</v>
      </c>
      <c r="G4" s="18">
        <v>20</v>
      </c>
      <c r="H4" s="38">
        <f t="shared" si="0"/>
        <v>75</v>
      </c>
    </row>
    <row r="5" spans="1:8" ht="15.5" x14ac:dyDescent="0.35">
      <c r="A5" s="18">
        <v>4</v>
      </c>
      <c r="B5" s="37" t="s">
        <v>2</v>
      </c>
      <c r="C5" s="18">
        <v>10</v>
      </c>
      <c r="D5" s="18">
        <v>10</v>
      </c>
      <c r="E5" s="18">
        <v>15</v>
      </c>
      <c r="F5" s="18">
        <v>20</v>
      </c>
      <c r="G5" s="18">
        <v>20</v>
      </c>
      <c r="H5" s="38">
        <f t="shared" si="0"/>
        <v>75</v>
      </c>
    </row>
    <row r="6" spans="1:8" ht="15.5" x14ac:dyDescent="0.35">
      <c r="A6" s="18">
        <v>5</v>
      </c>
      <c r="B6" s="37" t="s">
        <v>3</v>
      </c>
      <c r="C6" s="18">
        <v>10</v>
      </c>
      <c r="D6" s="18">
        <v>10</v>
      </c>
      <c r="E6" s="18">
        <v>10</v>
      </c>
      <c r="F6" s="18">
        <v>20</v>
      </c>
      <c r="G6" s="18">
        <v>20</v>
      </c>
      <c r="H6" s="38">
        <f t="shared" si="0"/>
        <v>70</v>
      </c>
    </row>
    <row r="7" spans="1:8" ht="15.5" x14ac:dyDescent="0.35">
      <c r="A7" s="18">
        <v>6</v>
      </c>
      <c r="B7" s="37" t="s">
        <v>4</v>
      </c>
      <c r="C7" s="18">
        <v>10</v>
      </c>
      <c r="D7" s="18">
        <v>10</v>
      </c>
      <c r="E7" s="18">
        <v>10</v>
      </c>
      <c r="F7" s="18">
        <v>20</v>
      </c>
      <c r="G7" s="18">
        <v>10</v>
      </c>
      <c r="H7" s="38">
        <f t="shared" si="0"/>
        <v>60</v>
      </c>
    </row>
    <row r="8" spans="1:8" ht="15.5" x14ac:dyDescent="0.35">
      <c r="A8" s="18">
        <v>7</v>
      </c>
      <c r="B8" s="37" t="s">
        <v>5</v>
      </c>
      <c r="C8" s="18">
        <v>10</v>
      </c>
      <c r="D8" s="18">
        <v>15</v>
      </c>
      <c r="E8" s="18">
        <v>20</v>
      </c>
      <c r="F8" s="18">
        <v>10</v>
      </c>
      <c r="G8" s="18">
        <v>10</v>
      </c>
      <c r="H8" s="38">
        <f t="shared" si="0"/>
        <v>65</v>
      </c>
    </row>
    <row r="9" spans="1:8" ht="15.5" x14ac:dyDescent="0.35">
      <c r="A9" s="18">
        <v>8</v>
      </c>
      <c r="B9" s="37" t="s">
        <v>6</v>
      </c>
      <c r="C9" s="18">
        <v>20</v>
      </c>
      <c r="D9" s="18">
        <v>20</v>
      </c>
      <c r="E9" s="18">
        <v>10</v>
      </c>
      <c r="F9" s="18">
        <v>10</v>
      </c>
      <c r="G9" s="18">
        <v>10</v>
      </c>
      <c r="H9" s="38">
        <f t="shared" si="0"/>
        <v>70</v>
      </c>
    </row>
    <row r="10" spans="1:8" ht="15.5" x14ac:dyDescent="0.35">
      <c r="A10" s="18">
        <v>9</v>
      </c>
      <c r="B10" s="37" t="s">
        <v>7</v>
      </c>
      <c r="C10" s="18">
        <v>15</v>
      </c>
      <c r="D10" s="18">
        <v>10</v>
      </c>
      <c r="E10" s="18">
        <v>20</v>
      </c>
      <c r="F10" s="18">
        <v>10</v>
      </c>
      <c r="G10" s="18">
        <v>20</v>
      </c>
      <c r="H10" s="38">
        <f t="shared" si="0"/>
        <v>75</v>
      </c>
    </row>
    <row r="11" spans="1:8" ht="15.5" x14ac:dyDescent="0.35">
      <c r="A11" s="18">
        <v>10</v>
      </c>
      <c r="B11" s="37" t="s">
        <v>8</v>
      </c>
      <c r="C11" s="18">
        <v>10</v>
      </c>
      <c r="D11" s="18">
        <v>20</v>
      </c>
      <c r="E11" s="18">
        <v>10</v>
      </c>
      <c r="F11" s="18">
        <v>10</v>
      </c>
      <c r="G11" s="18">
        <v>10</v>
      </c>
      <c r="H11" s="38">
        <f t="shared" si="0"/>
        <v>60</v>
      </c>
    </row>
    <row r="12" spans="1:8" ht="15.5" x14ac:dyDescent="0.35">
      <c r="A12" s="18">
        <v>11</v>
      </c>
      <c r="B12" s="37" t="s">
        <v>9</v>
      </c>
      <c r="C12" s="18">
        <v>10</v>
      </c>
      <c r="D12" s="18">
        <v>10</v>
      </c>
      <c r="E12" s="18">
        <v>15</v>
      </c>
      <c r="F12" s="18">
        <v>20</v>
      </c>
      <c r="G12" s="18">
        <v>10</v>
      </c>
      <c r="H12" s="38">
        <f t="shared" si="0"/>
        <v>65</v>
      </c>
    </row>
    <row r="13" spans="1:8" ht="15.5" x14ac:dyDescent="0.35">
      <c r="A13" s="18">
        <v>12</v>
      </c>
      <c r="B13" s="37" t="s">
        <v>10</v>
      </c>
      <c r="C13" s="18">
        <v>10</v>
      </c>
      <c r="D13" s="18">
        <v>10</v>
      </c>
      <c r="E13" s="18">
        <v>10</v>
      </c>
      <c r="F13" s="18">
        <v>20</v>
      </c>
      <c r="G13" s="18">
        <v>20</v>
      </c>
      <c r="H13" s="38">
        <f t="shared" si="0"/>
        <v>70</v>
      </c>
    </row>
    <row r="14" spans="1:8" ht="15.5" x14ac:dyDescent="0.35">
      <c r="A14" s="18">
        <v>13</v>
      </c>
      <c r="B14" s="37" t="s">
        <v>11</v>
      </c>
      <c r="C14" s="18">
        <v>10</v>
      </c>
      <c r="D14" s="18">
        <v>15</v>
      </c>
      <c r="E14" s="18">
        <v>15</v>
      </c>
      <c r="F14" s="18">
        <v>20</v>
      </c>
      <c r="G14" s="18">
        <v>10</v>
      </c>
      <c r="H14" s="38">
        <f t="shared" si="0"/>
        <v>70</v>
      </c>
    </row>
    <row r="15" spans="1:8" ht="15.5" x14ac:dyDescent="0.35">
      <c r="A15" s="18">
        <v>14</v>
      </c>
      <c r="B15" s="37" t="s">
        <v>12</v>
      </c>
      <c r="C15" s="18">
        <v>10</v>
      </c>
      <c r="D15" s="18">
        <v>10</v>
      </c>
      <c r="E15" s="18">
        <v>10</v>
      </c>
      <c r="F15" s="18">
        <v>10</v>
      </c>
      <c r="G15" s="18">
        <v>20</v>
      </c>
      <c r="H15" s="38">
        <f t="shared" si="0"/>
        <v>60</v>
      </c>
    </row>
    <row r="16" spans="1:8" ht="15.5" x14ac:dyDescent="0.35">
      <c r="A16" s="18">
        <v>15</v>
      </c>
      <c r="B16" s="37" t="s">
        <v>13</v>
      </c>
      <c r="C16" s="18">
        <v>10</v>
      </c>
      <c r="D16" s="18">
        <v>10</v>
      </c>
      <c r="E16" s="18">
        <v>10</v>
      </c>
      <c r="F16" s="18">
        <v>20</v>
      </c>
      <c r="G16" s="18">
        <v>10</v>
      </c>
      <c r="H16" s="38">
        <f t="shared" si="0"/>
        <v>60</v>
      </c>
    </row>
    <row r="17" spans="1:8 16384:16384" ht="15.5" x14ac:dyDescent="0.35">
      <c r="A17" s="18">
        <v>16</v>
      </c>
      <c r="B17" s="37" t="s">
        <v>14</v>
      </c>
      <c r="C17" s="18">
        <v>10</v>
      </c>
      <c r="D17" s="18">
        <v>10</v>
      </c>
      <c r="E17" s="18">
        <v>20</v>
      </c>
      <c r="F17" s="18">
        <v>10</v>
      </c>
      <c r="G17" s="18">
        <v>10</v>
      </c>
      <c r="H17" s="38">
        <f t="shared" si="0"/>
        <v>60</v>
      </c>
    </row>
    <row r="18" spans="1:8 16384:16384" ht="15.5" x14ac:dyDescent="0.35">
      <c r="A18" s="18">
        <v>17</v>
      </c>
      <c r="B18" s="37" t="s">
        <v>15</v>
      </c>
      <c r="C18" s="18">
        <v>10</v>
      </c>
      <c r="D18" s="18">
        <v>15</v>
      </c>
      <c r="E18" s="18">
        <v>20</v>
      </c>
      <c r="F18" s="18">
        <v>10</v>
      </c>
      <c r="G18" s="18">
        <v>10</v>
      </c>
      <c r="H18" s="38">
        <f t="shared" si="0"/>
        <v>65</v>
      </c>
    </row>
    <row r="19" spans="1:8 16384:16384" ht="15.5" x14ac:dyDescent="0.35">
      <c r="A19" s="18">
        <v>18</v>
      </c>
      <c r="B19" s="37" t="s">
        <v>16</v>
      </c>
      <c r="C19" s="18">
        <v>15</v>
      </c>
      <c r="D19" s="18">
        <v>20</v>
      </c>
      <c r="E19" s="18">
        <v>15</v>
      </c>
      <c r="F19" s="18">
        <v>10</v>
      </c>
      <c r="G19" s="18">
        <v>10</v>
      </c>
      <c r="H19" s="38">
        <f t="shared" si="0"/>
        <v>70</v>
      </c>
    </row>
    <row r="20" spans="1:8 16384:16384" ht="15.5" x14ac:dyDescent="0.35">
      <c r="A20" s="18">
        <v>19</v>
      </c>
      <c r="B20" s="37" t="s">
        <v>17</v>
      </c>
      <c r="C20" s="18">
        <v>10</v>
      </c>
      <c r="D20" s="18">
        <v>20</v>
      </c>
      <c r="E20" s="18">
        <v>20</v>
      </c>
      <c r="F20" s="18">
        <v>10</v>
      </c>
      <c r="G20" s="18">
        <v>10</v>
      </c>
      <c r="H20" s="38">
        <f t="shared" si="0"/>
        <v>70</v>
      </c>
    </row>
    <row r="21" spans="1:8 16384:16384" ht="15.5" x14ac:dyDescent="0.35">
      <c r="A21" s="18">
        <v>20</v>
      </c>
      <c r="B21" s="37" t="s">
        <v>18</v>
      </c>
      <c r="C21" s="18">
        <v>10</v>
      </c>
      <c r="D21" s="18">
        <v>10</v>
      </c>
      <c r="E21" s="18">
        <v>10</v>
      </c>
      <c r="F21" s="18">
        <v>20</v>
      </c>
      <c r="G21" s="18">
        <v>20</v>
      </c>
      <c r="H21" s="38">
        <f t="shared" si="0"/>
        <v>70</v>
      </c>
    </row>
    <row r="22" spans="1:8 16384:16384" ht="15.5" x14ac:dyDescent="0.35">
      <c r="A22" s="18">
        <v>21</v>
      </c>
      <c r="B22" s="37" t="s">
        <v>19</v>
      </c>
      <c r="C22" s="18">
        <v>10</v>
      </c>
      <c r="D22" s="18">
        <v>10</v>
      </c>
      <c r="E22" s="18">
        <v>20</v>
      </c>
      <c r="F22" s="18">
        <v>20</v>
      </c>
      <c r="G22" s="18">
        <v>10</v>
      </c>
      <c r="H22" s="38">
        <f t="shared" si="0"/>
        <v>70</v>
      </c>
    </row>
    <row r="23" spans="1:8 16384:16384" ht="15.5" x14ac:dyDescent="0.35">
      <c r="A23" s="18">
        <v>22</v>
      </c>
      <c r="B23" s="37" t="s">
        <v>20</v>
      </c>
      <c r="C23" s="18">
        <v>20</v>
      </c>
      <c r="D23" s="18">
        <v>10</v>
      </c>
      <c r="E23" s="18">
        <v>10</v>
      </c>
      <c r="F23" s="18">
        <v>10</v>
      </c>
      <c r="G23" s="18">
        <v>20</v>
      </c>
      <c r="H23" s="38">
        <f t="shared" si="0"/>
        <v>70</v>
      </c>
    </row>
    <row r="24" spans="1:8 16384:16384" ht="15.5" x14ac:dyDescent="0.35">
      <c r="A24" s="18">
        <v>23</v>
      </c>
      <c r="B24" s="37" t="s">
        <v>21</v>
      </c>
      <c r="C24" s="18">
        <v>15</v>
      </c>
      <c r="D24" s="18">
        <v>10</v>
      </c>
      <c r="E24" s="18">
        <v>10</v>
      </c>
      <c r="F24" s="18">
        <v>20</v>
      </c>
      <c r="G24" s="18">
        <v>20</v>
      </c>
      <c r="H24" s="38">
        <f t="shared" si="0"/>
        <v>75</v>
      </c>
    </row>
    <row r="25" spans="1:8 16384:16384" ht="15.5" x14ac:dyDescent="0.35">
      <c r="A25" s="18">
        <v>24</v>
      </c>
      <c r="B25" s="37" t="s">
        <v>22</v>
      </c>
      <c r="C25" s="18">
        <v>20</v>
      </c>
      <c r="D25" s="18">
        <v>20</v>
      </c>
      <c r="E25" s="18">
        <v>10</v>
      </c>
      <c r="F25" s="18">
        <v>10</v>
      </c>
      <c r="G25" s="18">
        <v>10</v>
      </c>
      <c r="H25" s="38">
        <f t="shared" si="0"/>
        <v>70</v>
      </c>
    </row>
    <row r="26" spans="1:8 16384:16384" ht="15.5" x14ac:dyDescent="0.35">
      <c r="A26" s="18">
        <v>25</v>
      </c>
      <c r="B26" s="37" t="s">
        <v>23</v>
      </c>
      <c r="C26" s="18">
        <v>10</v>
      </c>
      <c r="D26" s="18">
        <v>10</v>
      </c>
      <c r="E26" s="18">
        <v>15</v>
      </c>
      <c r="F26" s="18">
        <v>20</v>
      </c>
      <c r="G26" s="18">
        <v>20</v>
      </c>
      <c r="H26" s="38">
        <f t="shared" si="0"/>
        <v>75</v>
      </c>
    </row>
    <row r="27" spans="1:8 16384:16384" ht="15.5" x14ac:dyDescent="0.35">
      <c r="A27" s="18">
        <v>26</v>
      </c>
      <c r="B27" s="37" t="s">
        <v>24</v>
      </c>
      <c r="C27" s="18">
        <v>10</v>
      </c>
      <c r="D27" s="18">
        <v>10</v>
      </c>
      <c r="E27" s="18">
        <v>20</v>
      </c>
      <c r="F27" s="18">
        <v>20</v>
      </c>
      <c r="G27" s="18">
        <v>10</v>
      </c>
      <c r="H27" s="38">
        <f t="shared" si="0"/>
        <v>70</v>
      </c>
    </row>
    <row r="28" spans="1:8 16384:16384" ht="15.5" x14ac:dyDescent="0.35">
      <c r="A28" s="18">
        <v>27</v>
      </c>
      <c r="B28" s="37" t="s">
        <v>25</v>
      </c>
      <c r="C28" s="18">
        <v>10</v>
      </c>
      <c r="D28" s="18">
        <v>10</v>
      </c>
      <c r="E28" s="18">
        <v>15</v>
      </c>
      <c r="F28" s="18">
        <v>15</v>
      </c>
      <c r="G28" s="18">
        <v>20</v>
      </c>
      <c r="H28" s="38">
        <f t="shared" si="0"/>
        <v>70</v>
      </c>
    </row>
    <row r="29" spans="1:8 16384:16384" ht="15.5" x14ac:dyDescent="0.35">
      <c r="A29" s="18">
        <v>28</v>
      </c>
      <c r="B29" s="37" t="s">
        <v>26</v>
      </c>
      <c r="C29" s="18">
        <v>10</v>
      </c>
      <c r="D29" s="18">
        <v>15</v>
      </c>
      <c r="E29" s="18">
        <v>20</v>
      </c>
      <c r="F29" s="18">
        <v>20</v>
      </c>
      <c r="G29" s="18">
        <v>10</v>
      </c>
      <c r="H29" s="38">
        <f t="shared" si="0"/>
        <v>75</v>
      </c>
    </row>
    <row r="30" spans="1:8 16384:16384" ht="15.5" x14ac:dyDescent="0.35">
      <c r="A30" s="18">
        <v>29</v>
      </c>
      <c r="B30" s="37" t="s">
        <v>27</v>
      </c>
      <c r="C30" s="18">
        <v>10</v>
      </c>
      <c r="D30" s="18">
        <v>20</v>
      </c>
      <c r="E30" s="18">
        <v>10</v>
      </c>
      <c r="F30" s="18">
        <v>20</v>
      </c>
      <c r="G30" s="18">
        <v>10</v>
      </c>
      <c r="H30" s="38">
        <f t="shared" si="0"/>
        <v>70</v>
      </c>
    </row>
    <row r="31" spans="1:8 16384:16384" ht="15.5" x14ac:dyDescent="0.35">
      <c r="A31" s="18">
        <v>30</v>
      </c>
      <c r="B31" s="37" t="s">
        <v>50</v>
      </c>
      <c r="C31" s="18">
        <v>10</v>
      </c>
      <c r="D31" s="18">
        <v>10</v>
      </c>
      <c r="E31" s="18">
        <v>15</v>
      </c>
      <c r="F31" s="18">
        <v>20</v>
      </c>
      <c r="G31" s="18">
        <v>10</v>
      </c>
      <c r="H31" s="38">
        <f t="shared" si="0"/>
        <v>65</v>
      </c>
    </row>
    <row r="32" spans="1:8 16384:16384" ht="15.5" x14ac:dyDescent="0.35">
      <c r="A32" s="18">
        <v>31</v>
      </c>
      <c r="B32" s="37" t="s">
        <v>29</v>
      </c>
      <c r="C32" s="18">
        <v>10</v>
      </c>
      <c r="D32" s="18">
        <v>20</v>
      </c>
      <c r="E32" s="18">
        <v>20</v>
      </c>
      <c r="F32" s="18">
        <v>10</v>
      </c>
      <c r="G32" s="18">
        <v>10</v>
      </c>
      <c r="H32" s="38">
        <f t="shared" si="0"/>
        <v>70</v>
      </c>
      <c r="XFD32">
        <v>2</v>
      </c>
    </row>
    <row r="33" spans="1:12" ht="15.5" x14ac:dyDescent="0.35">
      <c r="A33" s="18">
        <v>32</v>
      </c>
      <c r="B33" s="37" t="s">
        <v>30</v>
      </c>
      <c r="C33" s="18">
        <v>15</v>
      </c>
      <c r="D33" s="18">
        <v>10</v>
      </c>
      <c r="E33" s="18">
        <v>10</v>
      </c>
      <c r="F33" s="18">
        <v>15</v>
      </c>
      <c r="G33" s="18">
        <v>15</v>
      </c>
      <c r="H33" s="38">
        <f t="shared" si="0"/>
        <v>65</v>
      </c>
    </row>
    <row r="34" spans="1:12" ht="15.5" x14ac:dyDescent="0.35">
      <c r="A34" s="18">
        <v>33</v>
      </c>
      <c r="B34" s="37" t="s">
        <v>31</v>
      </c>
      <c r="C34" s="18">
        <v>20</v>
      </c>
      <c r="D34" s="18">
        <v>20</v>
      </c>
      <c r="E34" s="18">
        <v>10</v>
      </c>
      <c r="F34" s="18">
        <v>10</v>
      </c>
      <c r="G34" s="18">
        <v>10</v>
      </c>
      <c r="H34" s="38">
        <f t="shared" si="0"/>
        <v>70</v>
      </c>
    </row>
    <row r="35" spans="1:12" ht="15.5" x14ac:dyDescent="0.35">
      <c r="A35" s="18">
        <v>34</v>
      </c>
      <c r="B35" s="37" t="s">
        <v>32</v>
      </c>
      <c r="C35" s="18">
        <v>10</v>
      </c>
      <c r="D35" s="18">
        <v>15</v>
      </c>
      <c r="E35" s="18">
        <v>15</v>
      </c>
      <c r="F35" s="18">
        <v>10</v>
      </c>
      <c r="G35" s="18">
        <v>10</v>
      </c>
      <c r="H35" s="38">
        <f t="shared" si="0"/>
        <v>60</v>
      </c>
    </row>
    <row r="36" spans="1:12" ht="15.5" x14ac:dyDescent="0.35">
      <c r="A36" s="18">
        <v>35</v>
      </c>
      <c r="B36" s="37" t="s">
        <v>33</v>
      </c>
      <c r="C36" s="18">
        <v>10</v>
      </c>
      <c r="D36" s="18">
        <v>20</v>
      </c>
      <c r="E36" s="18">
        <v>20</v>
      </c>
      <c r="F36" s="18">
        <v>10</v>
      </c>
      <c r="G36" s="18">
        <v>10</v>
      </c>
      <c r="H36" s="38">
        <f t="shared" si="0"/>
        <v>70</v>
      </c>
    </row>
    <row r="37" spans="1:12" ht="15.5" x14ac:dyDescent="0.35">
      <c r="A37" s="18">
        <v>36</v>
      </c>
      <c r="B37" s="37" t="s">
        <v>34</v>
      </c>
      <c r="C37" s="18">
        <v>10</v>
      </c>
      <c r="D37" s="18">
        <v>10</v>
      </c>
      <c r="E37" s="18">
        <v>10</v>
      </c>
      <c r="F37" s="18">
        <v>20</v>
      </c>
      <c r="G37" s="18">
        <v>10</v>
      </c>
      <c r="H37" s="38">
        <f t="shared" si="0"/>
        <v>60</v>
      </c>
    </row>
    <row r="38" spans="1:12" ht="15.5" x14ac:dyDescent="0.35">
      <c r="A38" s="18">
        <v>37</v>
      </c>
      <c r="B38" s="37" t="s">
        <v>35</v>
      </c>
      <c r="C38" s="18">
        <v>10</v>
      </c>
      <c r="D38" s="18">
        <v>15</v>
      </c>
      <c r="E38" s="18">
        <v>20</v>
      </c>
      <c r="F38" s="18">
        <v>20</v>
      </c>
      <c r="G38" s="18">
        <v>10</v>
      </c>
      <c r="H38" s="38">
        <f t="shared" si="0"/>
        <v>75</v>
      </c>
    </row>
    <row r="39" spans="1:12" ht="15.5" x14ac:dyDescent="0.35">
      <c r="A39" s="18">
        <v>38</v>
      </c>
      <c r="B39" s="37" t="s">
        <v>36</v>
      </c>
      <c r="C39" s="18">
        <v>10</v>
      </c>
      <c r="D39" s="18">
        <v>20</v>
      </c>
      <c r="E39" s="18">
        <v>20</v>
      </c>
      <c r="F39" s="18">
        <v>20</v>
      </c>
      <c r="G39" s="18">
        <v>10</v>
      </c>
      <c r="H39" s="38">
        <f t="shared" si="0"/>
        <v>80</v>
      </c>
    </row>
    <row r="40" spans="1:12" ht="15.5" x14ac:dyDescent="0.35">
      <c r="A40" s="18">
        <v>39</v>
      </c>
      <c r="B40" s="37" t="s">
        <v>37</v>
      </c>
      <c r="C40" s="18">
        <v>20</v>
      </c>
      <c r="D40" s="18">
        <v>10</v>
      </c>
      <c r="E40" s="18">
        <v>10</v>
      </c>
      <c r="F40" s="18">
        <v>10</v>
      </c>
      <c r="G40" s="18">
        <v>20</v>
      </c>
      <c r="H40" s="38">
        <f t="shared" si="0"/>
        <v>70</v>
      </c>
      <c r="L40" s="27"/>
    </row>
    <row r="41" spans="1:12" ht="15.5" x14ac:dyDescent="0.35">
      <c r="A41" s="18">
        <v>40</v>
      </c>
      <c r="B41" s="37" t="s">
        <v>38</v>
      </c>
      <c r="C41" s="18">
        <v>20</v>
      </c>
      <c r="D41" s="18">
        <v>20</v>
      </c>
      <c r="E41" s="18">
        <v>10</v>
      </c>
      <c r="F41" s="18">
        <v>10</v>
      </c>
      <c r="G41" s="18">
        <v>10</v>
      </c>
      <c r="H41" s="38">
        <f t="shared" si="0"/>
        <v>70</v>
      </c>
    </row>
    <row r="42" spans="1:12" ht="15.5" x14ac:dyDescent="0.35">
      <c r="A42" s="18">
        <v>41</v>
      </c>
      <c r="B42" s="37" t="s">
        <v>39</v>
      </c>
      <c r="C42" s="18">
        <v>20</v>
      </c>
      <c r="D42" s="18">
        <v>10</v>
      </c>
      <c r="E42" s="18">
        <v>20</v>
      </c>
      <c r="F42" s="18">
        <v>10</v>
      </c>
      <c r="G42" s="18">
        <v>10</v>
      </c>
      <c r="H42" s="38">
        <f t="shared" si="0"/>
        <v>70</v>
      </c>
    </row>
    <row r="43" spans="1:12" ht="15.5" x14ac:dyDescent="0.35">
      <c r="A43" s="18">
        <v>42</v>
      </c>
      <c r="B43" s="37" t="s">
        <v>40</v>
      </c>
      <c r="C43" s="18">
        <v>20</v>
      </c>
      <c r="D43" s="18">
        <v>10</v>
      </c>
      <c r="E43" s="18">
        <v>20</v>
      </c>
      <c r="F43" s="18">
        <v>10</v>
      </c>
      <c r="G43" s="18">
        <v>10</v>
      </c>
      <c r="H43" s="38">
        <f t="shared" si="0"/>
        <v>70</v>
      </c>
    </row>
    <row r="44" spans="1:12" ht="15.5" x14ac:dyDescent="0.35">
      <c r="A44" s="9"/>
      <c r="B44" s="37" t="s">
        <v>174</v>
      </c>
      <c r="C44" s="8">
        <f t="shared" ref="C44:H44" si="1">SUM(C2:C43)</f>
        <v>530</v>
      </c>
      <c r="D44" s="8">
        <f t="shared" si="1"/>
        <v>575</v>
      </c>
      <c r="E44" s="8">
        <f t="shared" si="1"/>
        <v>610</v>
      </c>
      <c r="F44" s="8">
        <f t="shared" si="1"/>
        <v>635</v>
      </c>
      <c r="G44" s="8">
        <f t="shared" si="1"/>
        <v>560</v>
      </c>
      <c r="H44" s="39">
        <f t="shared" si="1"/>
        <v>2910</v>
      </c>
    </row>
    <row r="45" spans="1:12" ht="15.5" x14ac:dyDescent="0.35">
      <c r="A45" s="9"/>
      <c r="B45" s="37" t="s">
        <v>202</v>
      </c>
      <c r="C45" s="40">
        <f>AVERAGE(C2:C43)</f>
        <v>12.619047619047619</v>
      </c>
      <c r="D45" s="40">
        <f t="shared" ref="D45:G45" si="2">AVERAGE(D2:D43)</f>
        <v>13.69047619047619</v>
      </c>
      <c r="E45" s="40">
        <f t="shared" si="2"/>
        <v>14.523809523809524</v>
      </c>
      <c r="F45" s="40">
        <f t="shared" si="2"/>
        <v>15.119047619047619</v>
      </c>
      <c r="G45" s="40">
        <f t="shared" si="2"/>
        <v>13.333333333333334</v>
      </c>
      <c r="H45" s="39">
        <f>AVERAGE(H2:H43)</f>
        <v>69.285714285714292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2E16A-7C7D-45CD-865F-FA1429466928}">
  <dimension ref="A1:H45"/>
  <sheetViews>
    <sheetView zoomScale="82" zoomScaleNormal="82" workbookViewId="0">
      <selection activeCell="H43" sqref="H43"/>
    </sheetView>
  </sheetViews>
  <sheetFormatPr defaultRowHeight="14.5" x14ac:dyDescent="0.35"/>
  <cols>
    <col min="2" max="2" width="24.54296875" customWidth="1"/>
    <col min="7" max="7" width="9.1796875" customWidth="1"/>
    <col min="8" max="8" width="15.26953125" customWidth="1"/>
  </cols>
  <sheetData>
    <row r="1" spans="1:8" ht="15.5" x14ac:dyDescent="0.35">
      <c r="A1" s="1" t="s">
        <v>48</v>
      </c>
      <c r="B1" s="1" t="s">
        <v>47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49</v>
      </c>
    </row>
    <row r="2" spans="1:8" ht="15.5" x14ac:dyDescent="0.35">
      <c r="A2" s="1">
        <v>1</v>
      </c>
      <c r="B2" s="3" t="s">
        <v>0</v>
      </c>
      <c r="C2" s="1">
        <v>20</v>
      </c>
      <c r="D2" s="1">
        <v>20</v>
      </c>
      <c r="E2" s="1">
        <v>15</v>
      </c>
      <c r="F2" s="1">
        <v>20</v>
      </c>
      <c r="G2" s="1">
        <v>20</v>
      </c>
      <c r="H2" s="1">
        <f>SUM(C2:G2)</f>
        <v>95</v>
      </c>
    </row>
    <row r="3" spans="1:8" ht="15.5" x14ac:dyDescent="0.35">
      <c r="A3" s="1">
        <v>2</v>
      </c>
      <c r="B3" s="3" t="s">
        <v>1</v>
      </c>
      <c r="C3" s="1">
        <v>20</v>
      </c>
      <c r="D3" s="1">
        <v>15</v>
      </c>
      <c r="E3" s="1">
        <v>20</v>
      </c>
      <c r="F3" s="1">
        <v>20</v>
      </c>
      <c r="G3" s="1">
        <v>20</v>
      </c>
      <c r="H3" s="1">
        <f t="shared" ref="H3:H43" si="0">SUM(C3:G3)</f>
        <v>95</v>
      </c>
    </row>
    <row r="4" spans="1:8" ht="15.5" x14ac:dyDescent="0.35">
      <c r="A4" s="1">
        <v>3</v>
      </c>
      <c r="B4" s="3" t="s">
        <v>46</v>
      </c>
      <c r="C4" s="1">
        <v>20</v>
      </c>
      <c r="D4" s="1">
        <v>20</v>
      </c>
      <c r="E4" s="1">
        <v>15</v>
      </c>
      <c r="F4" s="1">
        <v>20</v>
      </c>
      <c r="G4" s="1">
        <v>20</v>
      </c>
      <c r="H4" s="1">
        <f t="shared" si="0"/>
        <v>95</v>
      </c>
    </row>
    <row r="5" spans="1:8" ht="15.5" x14ac:dyDescent="0.35">
      <c r="A5" s="1">
        <v>4</v>
      </c>
      <c r="B5" s="3" t="s">
        <v>2</v>
      </c>
      <c r="C5" s="1">
        <v>10</v>
      </c>
      <c r="D5" s="1">
        <v>20</v>
      </c>
      <c r="E5" s="1">
        <v>20</v>
      </c>
      <c r="F5" s="1">
        <v>20</v>
      </c>
      <c r="G5" s="1">
        <v>20</v>
      </c>
      <c r="H5" s="1">
        <f t="shared" si="0"/>
        <v>90</v>
      </c>
    </row>
    <row r="6" spans="1:8" ht="15.5" x14ac:dyDescent="0.35">
      <c r="A6" s="1">
        <v>5</v>
      </c>
      <c r="B6" s="3" t="s">
        <v>3</v>
      </c>
      <c r="C6" s="1">
        <v>20</v>
      </c>
      <c r="D6" s="1">
        <v>20</v>
      </c>
      <c r="E6" s="1">
        <v>10</v>
      </c>
      <c r="F6" s="1">
        <v>20</v>
      </c>
      <c r="G6" s="1">
        <v>20</v>
      </c>
      <c r="H6" s="1">
        <f t="shared" si="0"/>
        <v>90</v>
      </c>
    </row>
    <row r="7" spans="1:8" ht="15.5" x14ac:dyDescent="0.35">
      <c r="A7" s="1">
        <v>6</v>
      </c>
      <c r="B7" s="3" t="s">
        <v>4</v>
      </c>
      <c r="C7" s="1">
        <v>20</v>
      </c>
      <c r="D7" s="1">
        <v>20</v>
      </c>
      <c r="E7" s="1">
        <v>20</v>
      </c>
      <c r="F7" s="1">
        <v>20</v>
      </c>
      <c r="G7" s="1">
        <v>15</v>
      </c>
      <c r="H7" s="1">
        <f t="shared" si="0"/>
        <v>95</v>
      </c>
    </row>
    <row r="8" spans="1:8" ht="15.5" x14ac:dyDescent="0.35">
      <c r="A8" s="1">
        <v>7</v>
      </c>
      <c r="B8" s="3" t="s">
        <v>5</v>
      </c>
      <c r="C8" s="1">
        <v>20</v>
      </c>
      <c r="D8" s="1">
        <v>20</v>
      </c>
      <c r="E8" s="1">
        <v>20</v>
      </c>
      <c r="F8" s="1">
        <v>20</v>
      </c>
      <c r="G8" s="1">
        <v>15</v>
      </c>
      <c r="H8" s="1">
        <f t="shared" si="0"/>
        <v>95</v>
      </c>
    </row>
    <row r="9" spans="1:8" ht="15.5" x14ac:dyDescent="0.35">
      <c r="A9" s="1">
        <v>8</v>
      </c>
      <c r="B9" s="3" t="s">
        <v>6</v>
      </c>
      <c r="C9" s="1">
        <v>20</v>
      </c>
      <c r="D9" s="1">
        <v>20</v>
      </c>
      <c r="E9" s="1">
        <v>20</v>
      </c>
      <c r="F9" s="1">
        <v>20</v>
      </c>
      <c r="G9" s="1">
        <v>10</v>
      </c>
      <c r="H9" s="1">
        <f t="shared" si="0"/>
        <v>90</v>
      </c>
    </row>
    <row r="10" spans="1:8" ht="15.5" x14ac:dyDescent="0.35">
      <c r="A10" s="1">
        <v>9</v>
      </c>
      <c r="B10" s="3" t="s">
        <v>7</v>
      </c>
      <c r="C10" s="1">
        <v>20</v>
      </c>
      <c r="D10" s="1">
        <v>15</v>
      </c>
      <c r="E10" s="1">
        <v>20</v>
      </c>
      <c r="F10" s="1">
        <v>20</v>
      </c>
      <c r="G10" s="1">
        <v>20</v>
      </c>
      <c r="H10" s="1">
        <f t="shared" si="0"/>
        <v>95</v>
      </c>
    </row>
    <row r="11" spans="1:8" ht="15.5" x14ac:dyDescent="0.35">
      <c r="A11" s="1">
        <v>10</v>
      </c>
      <c r="B11" s="3" t="s">
        <v>8</v>
      </c>
      <c r="C11" s="1">
        <v>15</v>
      </c>
      <c r="D11" s="1">
        <v>20</v>
      </c>
      <c r="E11" s="1">
        <v>20</v>
      </c>
      <c r="F11" s="1">
        <v>20</v>
      </c>
      <c r="G11" s="1">
        <v>20</v>
      </c>
      <c r="H11" s="1">
        <f t="shared" si="0"/>
        <v>95</v>
      </c>
    </row>
    <row r="12" spans="1:8" ht="15.5" x14ac:dyDescent="0.35">
      <c r="A12" s="1">
        <v>11</v>
      </c>
      <c r="B12" s="3" t="s">
        <v>9</v>
      </c>
      <c r="C12" s="1">
        <v>20</v>
      </c>
      <c r="D12" s="1">
        <v>20</v>
      </c>
      <c r="E12" s="1">
        <v>20</v>
      </c>
      <c r="F12" s="1">
        <v>20</v>
      </c>
      <c r="G12" s="1">
        <v>15</v>
      </c>
      <c r="H12" s="1">
        <f t="shared" si="0"/>
        <v>95</v>
      </c>
    </row>
    <row r="13" spans="1:8" ht="15.5" x14ac:dyDescent="0.35">
      <c r="A13" s="1">
        <v>12</v>
      </c>
      <c r="B13" s="3" t="s">
        <v>10</v>
      </c>
      <c r="C13" s="1">
        <v>20</v>
      </c>
      <c r="D13" s="1">
        <v>15</v>
      </c>
      <c r="E13" s="1">
        <v>20</v>
      </c>
      <c r="F13" s="1">
        <v>20</v>
      </c>
      <c r="G13" s="1">
        <v>20</v>
      </c>
      <c r="H13" s="1">
        <f t="shared" si="0"/>
        <v>95</v>
      </c>
    </row>
    <row r="14" spans="1:8" ht="15.5" x14ac:dyDescent="0.35">
      <c r="A14" s="1">
        <v>13</v>
      </c>
      <c r="B14" s="3" t="s">
        <v>11</v>
      </c>
      <c r="C14" s="1">
        <v>20</v>
      </c>
      <c r="D14" s="1">
        <v>20</v>
      </c>
      <c r="E14" s="1">
        <v>20</v>
      </c>
      <c r="F14" s="1">
        <v>20</v>
      </c>
      <c r="G14" s="1">
        <v>15</v>
      </c>
      <c r="H14" s="1">
        <f t="shared" si="0"/>
        <v>95</v>
      </c>
    </row>
    <row r="15" spans="1:8" ht="15.5" x14ac:dyDescent="0.35">
      <c r="A15" s="1">
        <v>14</v>
      </c>
      <c r="B15" s="3" t="s">
        <v>12</v>
      </c>
      <c r="C15" s="1">
        <v>20</v>
      </c>
      <c r="D15" s="1">
        <v>20</v>
      </c>
      <c r="E15" s="1">
        <v>20</v>
      </c>
      <c r="F15" s="1">
        <v>20</v>
      </c>
      <c r="G15" s="1">
        <v>15</v>
      </c>
      <c r="H15" s="1">
        <f t="shared" si="0"/>
        <v>95</v>
      </c>
    </row>
    <row r="16" spans="1:8" ht="15.5" x14ac:dyDescent="0.35">
      <c r="A16" s="1">
        <v>15</v>
      </c>
      <c r="B16" s="3" t="s">
        <v>13</v>
      </c>
      <c r="C16" s="1">
        <v>20</v>
      </c>
      <c r="D16" s="1">
        <v>20</v>
      </c>
      <c r="E16" s="1">
        <v>15</v>
      </c>
      <c r="F16" s="1">
        <v>20</v>
      </c>
      <c r="G16" s="1">
        <v>20</v>
      </c>
      <c r="H16" s="1">
        <f t="shared" si="0"/>
        <v>95</v>
      </c>
    </row>
    <row r="17" spans="1:8" ht="15.5" x14ac:dyDescent="0.35">
      <c r="A17" s="1">
        <v>16</v>
      </c>
      <c r="B17" s="3" t="s">
        <v>14</v>
      </c>
      <c r="C17" s="1">
        <v>15</v>
      </c>
      <c r="D17" s="1">
        <v>20</v>
      </c>
      <c r="E17" s="1">
        <v>20</v>
      </c>
      <c r="F17" s="1">
        <v>20</v>
      </c>
      <c r="G17" s="1">
        <v>20</v>
      </c>
      <c r="H17" s="1">
        <f t="shared" si="0"/>
        <v>95</v>
      </c>
    </row>
    <row r="18" spans="1:8" ht="15.5" x14ac:dyDescent="0.35">
      <c r="A18" s="1">
        <v>17</v>
      </c>
      <c r="B18" s="3" t="s">
        <v>15</v>
      </c>
      <c r="C18" s="1">
        <v>20</v>
      </c>
      <c r="D18" s="1">
        <v>20</v>
      </c>
      <c r="E18" s="1">
        <v>20</v>
      </c>
      <c r="F18" s="1">
        <v>20</v>
      </c>
      <c r="G18" s="1">
        <v>15</v>
      </c>
      <c r="H18" s="1">
        <f t="shared" si="0"/>
        <v>95</v>
      </c>
    </row>
    <row r="19" spans="1:8" ht="15.5" x14ac:dyDescent="0.35">
      <c r="A19" s="1">
        <v>18</v>
      </c>
      <c r="B19" s="3" t="s">
        <v>16</v>
      </c>
      <c r="C19" s="1">
        <v>20</v>
      </c>
      <c r="D19" s="1">
        <v>20</v>
      </c>
      <c r="E19" s="1">
        <v>20</v>
      </c>
      <c r="F19" s="1">
        <v>20</v>
      </c>
      <c r="G19" s="1">
        <v>15</v>
      </c>
      <c r="H19" s="1">
        <f t="shared" si="0"/>
        <v>95</v>
      </c>
    </row>
    <row r="20" spans="1:8" ht="15.5" x14ac:dyDescent="0.35">
      <c r="A20" s="1">
        <v>19</v>
      </c>
      <c r="B20" s="3" t="s">
        <v>17</v>
      </c>
      <c r="C20" s="1">
        <v>20</v>
      </c>
      <c r="D20" s="1">
        <v>20</v>
      </c>
      <c r="E20" s="1">
        <v>20</v>
      </c>
      <c r="F20" s="1">
        <v>20</v>
      </c>
      <c r="G20" s="1">
        <v>10</v>
      </c>
      <c r="H20" s="1">
        <f t="shared" si="0"/>
        <v>90</v>
      </c>
    </row>
    <row r="21" spans="1:8" ht="15.5" x14ac:dyDescent="0.35">
      <c r="A21" s="1">
        <v>20</v>
      </c>
      <c r="B21" s="3" t="s">
        <v>18</v>
      </c>
      <c r="C21" s="1">
        <v>20</v>
      </c>
      <c r="D21" s="1">
        <v>20</v>
      </c>
      <c r="E21" s="1">
        <v>10</v>
      </c>
      <c r="F21" s="1">
        <v>20</v>
      </c>
      <c r="G21" s="1">
        <v>15</v>
      </c>
      <c r="H21" s="1">
        <f t="shared" si="0"/>
        <v>85</v>
      </c>
    </row>
    <row r="22" spans="1:8" ht="15.5" x14ac:dyDescent="0.35">
      <c r="A22" s="1">
        <v>21</v>
      </c>
      <c r="B22" s="3" t="s">
        <v>19</v>
      </c>
      <c r="C22" s="1">
        <v>20</v>
      </c>
      <c r="D22" s="1">
        <v>20</v>
      </c>
      <c r="E22" s="1">
        <v>20</v>
      </c>
      <c r="F22" s="1">
        <v>15</v>
      </c>
      <c r="G22" s="1">
        <v>20</v>
      </c>
      <c r="H22" s="1">
        <f t="shared" si="0"/>
        <v>95</v>
      </c>
    </row>
    <row r="23" spans="1:8" ht="15.5" x14ac:dyDescent="0.35">
      <c r="A23" s="1">
        <v>22</v>
      </c>
      <c r="B23" s="3" t="s">
        <v>20</v>
      </c>
      <c r="C23" s="1">
        <v>20</v>
      </c>
      <c r="D23" s="1">
        <v>20</v>
      </c>
      <c r="E23" s="1">
        <v>20</v>
      </c>
      <c r="F23" s="1">
        <v>15</v>
      </c>
      <c r="G23" s="1">
        <v>20</v>
      </c>
      <c r="H23" s="1">
        <f t="shared" si="0"/>
        <v>95</v>
      </c>
    </row>
    <row r="24" spans="1:8" ht="15.5" x14ac:dyDescent="0.35">
      <c r="A24" s="1">
        <v>23</v>
      </c>
      <c r="B24" s="3" t="s">
        <v>21</v>
      </c>
      <c r="C24" s="1">
        <v>20</v>
      </c>
      <c r="D24" s="1">
        <v>15</v>
      </c>
      <c r="E24" s="1">
        <v>20</v>
      </c>
      <c r="F24" s="1">
        <v>20</v>
      </c>
      <c r="G24" s="1">
        <v>20</v>
      </c>
      <c r="H24" s="1">
        <f t="shared" si="0"/>
        <v>95</v>
      </c>
    </row>
    <row r="25" spans="1:8" ht="15.5" x14ac:dyDescent="0.35">
      <c r="A25" s="1">
        <v>24</v>
      </c>
      <c r="B25" s="3" t="s">
        <v>22</v>
      </c>
      <c r="C25" s="1">
        <v>20</v>
      </c>
      <c r="D25" s="1">
        <v>20</v>
      </c>
      <c r="E25" s="1">
        <v>20</v>
      </c>
      <c r="F25" s="1">
        <v>20</v>
      </c>
      <c r="G25" s="1">
        <v>10</v>
      </c>
      <c r="H25" s="1">
        <f t="shared" si="0"/>
        <v>90</v>
      </c>
    </row>
    <row r="26" spans="1:8" ht="15.5" x14ac:dyDescent="0.35">
      <c r="A26" s="1">
        <v>25</v>
      </c>
      <c r="B26" s="3" t="s">
        <v>23</v>
      </c>
      <c r="C26" s="1">
        <v>10</v>
      </c>
      <c r="D26" s="1">
        <v>20</v>
      </c>
      <c r="E26" s="1">
        <v>20</v>
      </c>
      <c r="F26" s="1">
        <v>20</v>
      </c>
      <c r="G26" s="1">
        <v>20</v>
      </c>
      <c r="H26" s="1">
        <f t="shared" si="0"/>
        <v>90</v>
      </c>
    </row>
    <row r="27" spans="1:8" ht="15.5" x14ac:dyDescent="0.35">
      <c r="A27" s="1">
        <v>26</v>
      </c>
      <c r="B27" s="3" t="s">
        <v>24</v>
      </c>
      <c r="C27" s="1">
        <v>20</v>
      </c>
      <c r="D27" s="1">
        <v>20</v>
      </c>
      <c r="E27" s="1">
        <v>20</v>
      </c>
      <c r="F27" s="1">
        <v>20</v>
      </c>
      <c r="G27" s="1">
        <v>10</v>
      </c>
      <c r="H27" s="1">
        <f t="shared" si="0"/>
        <v>90</v>
      </c>
    </row>
    <row r="28" spans="1:8" ht="15.5" x14ac:dyDescent="0.35">
      <c r="A28" s="1">
        <v>27</v>
      </c>
      <c r="B28" s="3" t="s">
        <v>25</v>
      </c>
      <c r="C28" s="1">
        <v>20</v>
      </c>
      <c r="D28" s="1">
        <v>20</v>
      </c>
      <c r="E28" s="1">
        <v>20</v>
      </c>
      <c r="F28" s="1">
        <v>20</v>
      </c>
      <c r="G28" s="1">
        <v>15</v>
      </c>
      <c r="H28" s="1">
        <f t="shared" si="0"/>
        <v>95</v>
      </c>
    </row>
    <row r="29" spans="1:8" ht="15.5" x14ac:dyDescent="0.35">
      <c r="A29" s="1">
        <v>28</v>
      </c>
      <c r="B29" s="3" t="s">
        <v>26</v>
      </c>
      <c r="C29" s="1">
        <v>20</v>
      </c>
      <c r="D29" s="1">
        <v>20</v>
      </c>
      <c r="E29" s="1">
        <v>20</v>
      </c>
      <c r="F29" s="1">
        <v>10</v>
      </c>
      <c r="G29" s="1">
        <v>15</v>
      </c>
      <c r="H29" s="1">
        <f t="shared" si="0"/>
        <v>85</v>
      </c>
    </row>
    <row r="30" spans="1:8" ht="15.5" x14ac:dyDescent="0.35">
      <c r="A30" s="1">
        <v>29</v>
      </c>
      <c r="B30" s="3" t="s">
        <v>27</v>
      </c>
      <c r="C30" s="1">
        <v>20</v>
      </c>
      <c r="D30" s="1">
        <v>20</v>
      </c>
      <c r="E30" s="1">
        <v>20</v>
      </c>
      <c r="F30" s="1">
        <v>10</v>
      </c>
      <c r="G30" s="1">
        <v>10</v>
      </c>
      <c r="H30" s="1">
        <f t="shared" si="0"/>
        <v>80</v>
      </c>
    </row>
    <row r="31" spans="1:8" ht="15.5" x14ac:dyDescent="0.35">
      <c r="A31" s="1">
        <v>30</v>
      </c>
      <c r="B31" s="3" t="s">
        <v>28</v>
      </c>
      <c r="C31" s="1">
        <v>20</v>
      </c>
      <c r="D31" s="1">
        <v>20</v>
      </c>
      <c r="E31" s="1">
        <v>20</v>
      </c>
      <c r="F31" s="1">
        <v>10</v>
      </c>
      <c r="G31" s="1">
        <v>20</v>
      </c>
      <c r="H31" s="1">
        <f t="shared" si="0"/>
        <v>90</v>
      </c>
    </row>
    <row r="32" spans="1:8" ht="15.5" x14ac:dyDescent="0.35">
      <c r="A32" s="1">
        <v>31</v>
      </c>
      <c r="B32" s="3" t="s">
        <v>29</v>
      </c>
      <c r="C32" s="1">
        <v>20</v>
      </c>
      <c r="D32" s="1">
        <v>20</v>
      </c>
      <c r="E32" s="1">
        <v>20</v>
      </c>
      <c r="F32" s="1">
        <v>20</v>
      </c>
      <c r="G32" s="1">
        <v>10</v>
      </c>
      <c r="H32" s="1">
        <f t="shared" si="0"/>
        <v>90</v>
      </c>
    </row>
    <row r="33" spans="1:8" ht="15.5" x14ac:dyDescent="0.35">
      <c r="A33" s="1">
        <v>32</v>
      </c>
      <c r="B33" s="3" t="s">
        <v>30</v>
      </c>
      <c r="C33" s="1">
        <v>20</v>
      </c>
      <c r="D33" s="1">
        <v>20</v>
      </c>
      <c r="E33" s="1">
        <v>10</v>
      </c>
      <c r="F33" s="1">
        <v>20</v>
      </c>
      <c r="G33" s="1">
        <v>20</v>
      </c>
      <c r="H33" s="1">
        <f t="shared" si="0"/>
        <v>90</v>
      </c>
    </row>
    <row r="34" spans="1:8" ht="15.5" x14ac:dyDescent="0.35">
      <c r="A34" s="1">
        <v>33</v>
      </c>
      <c r="B34" s="3" t="s">
        <v>31</v>
      </c>
      <c r="C34" s="1">
        <v>20</v>
      </c>
      <c r="D34" s="1">
        <v>20</v>
      </c>
      <c r="E34" s="1">
        <v>20</v>
      </c>
      <c r="F34" s="1">
        <v>20</v>
      </c>
      <c r="G34" s="1">
        <v>15</v>
      </c>
      <c r="H34" s="1">
        <f t="shared" si="0"/>
        <v>95</v>
      </c>
    </row>
    <row r="35" spans="1:8" ht="15.5" x14ac:dyDescent="0.35">
      <c r="A35" s="1">
        <v>34</v>
      </c>
      <c r="B35" s="3" t="s">
        <v>32</v>
      </c>
      <c r="C35" s="1">
        <v>10</v>
      </c>
      <c r="D35" s="1">
        <v>20</v>
      </c>
      <c r="E35" s="1">
        <v>20</v>
      </c>
      <c r="F35" s="1">
        <v>20</v>
      </c>
      <c r="G35" s="1">
        <v>15</v>
      </c>
      <c r="H35" s="1">
        <f t="shared" si="0"/>
        <v>85</v>
      </c>
    </row>
    <row r="36" spans="1:8" ht="15.5" x14ac:dyDescent="0.35">
      <c r="A36" s="1">
        <v>35</v>
      </c>
      <c r="B36" s="3" t="s">
        <v>33</v>
      </c>
      <c r="C36" s="1">
        <v>20</v>
      </c>
      <c r="D36" s="1">
        <v>20</v>
      </c>
      <c r="E36" s="1">
        <v>20</v>
      </c>
      <c r="F36" s="1">
        <v>20</v>
      </c>
      <c r="G36" s="1">
        <v>10</v>
      </c>
      <c r="H36" s="1">
        <f t="shared" si="0"/>
        <v>90</v>
      </c>
    </row>
    <row r="37" spans="1:8" ht="15.5" x14ac:dyDescent="0.35">
      <c r="A37" s="1">
        <v>36</v>
      </c>
      <c r="B37" s="3" t="s">
        <v>34</v>
      </c>
      <c r="C37" s="1">
        <v>20</v>
      </c>
      <c r="D37" s="1">
        <v>20</v>
      </c>
      <c r="E37" s="1">
        <v>20</v>
      </c>
      <c r="F37" s="1">
        <v>20</v>
      </c>
      <c r="G37" s="1">
        <v>10</v>
      </c>
      <c r="H37" s="1">
        <f t="shared" si="0"/>
        <v>90</v>
      </c>
    </row>
    <row r="38" spans="1:8" ht="15.5" x14ac:dyDescent="0.35">
      <c r="A38" s="1">
        <v>37</v>
      </c>
      <c r="B38" s="3" t="s">
        <v>35</v>
      </c>
      <c r="C38" s="1">
        <v>15</v>
      </c>
      <c r="D38" s="1">
        <v>20</v>
      </c>
      <c r="E38" s="1">
        <v>20</v>
      </c>
      <c r="F38" s="1">
        <v>20</v>
      </c>
      <c r="G38" s="1">
        <v>20</v>
      </c>
      <c r="H38" s="1">
        <f t="shared" si="0"/>
        <v>95</v>
      </c>
    </row>
    <row r="39" spans="1:8" ht="15.5" x14ac:dyDescent="0.35">
      <c r="A39" s="1">
        <v>38</v>
      </c>
      <c r="B39" s="3" t="s">
        <v>36</v>
      </c>
      <c r="C39" s="1">
        <v>20</v>
      </c>
      <c r="D39" s="1">
        <v>20</v>
      </c>
      <c r="E39" s="1">
        <v>20</v>
      </c>
      <c r="F39" s="1">
        <v>20</v>
      </c>
      <c r="G39" s="1">
        <v>15</v>
      </c>
      <c r="H39" s="1">
        <f t="shared" si="0"/>
        <v>95</v>
      </c>
    </row>
    <row r="40" spans="1:8" ht="15.5" x14ac:dyDescent="0.35">
      <c r="A40" s="1">
        <v>39</v>
      </c>
      <c r="B40" s="3" t="s">
        <v>37</v>
      </c>
      <c r="C40" s="1">
        <v>20</v>
      </c>
      <c r="D40" s="1">
        <v>20</v>
      </c>
      <c r="E40" s="1">
        <v>15</v>
      </c>
      <c r="F40" s="1">
        <v>15</v>
      </c>
      <c r="G40" s="1">
        <v>20</v>
      </c>
      <c r="H40" s="1">
        <f t="shared" si="0"/>
        <v>90</v>
      </c>
    </row>
    <row r="41" spans="1:8" ht="15.5" x14ac:dyDescent="0.35">
      <c r="A41" s="1">
        <v>40</v>
      </c>
      <c r="B41" s="3" t="s">
        <v>38</v>
      </c>
      <c r="C41" s="1">
        <v>20</v>
      </c>
      <c r="D41" s="1">
        <v>20</v>
      </c>
      <c r="E41" s="1">
        <v>20</v>
      </c>
      <c r="F41" s="1">
        <v>20</v>
      </c>
      <c r="G41" s="1">
        <v>15</v>
      </c>
      <c r="H41" s="1">
        <f t="shared" si="0"/>
        <v>95</v>
      </c>
    </row>
    <row r="42" spans="1:8" ht="15.5" x14ac:dyDescent="0.35">
      <c r="A42" s="1">
        <v>41</v>
      </c>
      <c r="B42" s="3" t="s">
        <v>39</v>
      </c>
      <c r="C42" s="1">
        <v>20</v>
      </c>
      <c r="D42" s="1">
        <v>20</v>
      </c>
      <c r="E42" s="1">
        <v>20</v>
      </c>
      <c r="F42" s="1">
        <v>20</v>
      </c>
      <c r="G42" s="1">
        <v>15</v>
      </c>
      <c r="H42" s="1">
        <f t="shared" si="0"/>
        <v>95</v>
      </c>
    </row>
    <row r="43" spans="1:8" ht="15.5" x14ac:dyDescent="0.35">
      <c r="A43" s="1">
        <v>42</v>
      </c>
      <c r="B43" s="3" t="s">
        <v>40</v>
      </c>
      <c r="C43" s="1">
        <v>20</v>
      </c>
      <c r="D43" s="1">
        <v>20</v>
      </c>
      <c r="E43" s="1">
        <v>20</v>
      </c>
      <c r="F43" s="1">
        <v>10</v>
      </c>
      <c r="G43" s="1">
        <v>20</v>
      </c>
      <c r="H43" s="1">
        <f t="shared" si="0"/>
        <v>90</v>
      </c>
    </row>
    <row r="44" spans="1:8" ht="15.5" x14ac:dyDescent="0.35">
      <c r="A44" s="2"/>
      <c r="B44" s="3" t="s">
        <v>174</v>
      </c>
      <c r="C44" s="4">
        <f>SUM(C2:C43)</f>
        <v>795</v>
      </c>
      <c r="D44" s="4">
        <f t="shared" ref="D44:G44" si="1">SUM(D2:D43)</f>
        <v>820</v>
      </c>
      <c r="E44" s="4">
        <f t="shared" si="1"/>
        <v>790</v>
      </c>
      <c r="F44" s="4">
        <f t="shared" si="1"/>
        <v>785</v>
      </c>
      <c r="G44" s="4">
        <f t="shared" si="1"/>
        <v>685</v>
      </c>
      <c r="H44" s="4">
        <f>SUM(H2:H43)</f>
        <v>3875</v>
      </c>
    </row>
    <row r="45" spans="1:8" ht="15.5" x14ac:dyDescent="0.35">
      <c r="A45" s="2"/>
      <c r="B45" s="3" t="s">
        <v>202</v>
      </c>
      <c r="C45" s="28">
        <f>AVERAGE(C2:C43)</f>
        <v>18.928571428571427</v>
      </c>
      <c r="D45" s="28">
        <f t="shared" ref="D45:H45" si="2">AVERAGE(D2:D43)</f>
        <v>19.523809523809526</v>
      </c>
      <c r="E45" s="28">
        <f t="shared" si="2"/>
        <v>18.80952380952381</v>
      </c>
      <c r="F45" s="28">
        <f t="shared" si="2"/>
        <v>18.69047619047619</v>
      </c>
      <c r="G45" s="28">
        <f t="shared" si="2"/>
        <v>16.30952380952381</v>
      </c>
      <c r="H45" s="28">
        <f t="shared" si="2"/>
        <v>92.261904761904759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E94A5-86E8-428D-BFE7-EBBB016F91DC}">
  <dimension ref="A1:Y47"/>
  <sheetViews>
    <sheetView zoomScale="82" zoomScaleNormal="82" workbookViewId="0">
      <selection activeCell="J21" sqref="J21"/>
    </sheetView>
  </sheetViews>
  <sheetFormatPr defaultRowHeight="14.5" x14ac:dyDescent="0.35"/>
  <cols>
    <col min="2" max="2" width="28.1796875" customWidth="1"/>
    <col min="3" max="3" width="8.26953125" customWidth="1"/>
    <col min="23" max="23" width="13" customWidth="1"/>
    <col min="25" max="25" width="13.7265625" customWidth="1"/>
  </cols>
  <sheetData>
    <row r="1" spans="1:25" x14ac:dyDescent="0.35">
      <c r="A1" s="8" t="s">
        <v>48</v>
      </c>
      <c r="B1" s="8" t="s">
        <v>51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177</v>
      </c>
      <c r="I1" s="8" t="s">
        <v>178</v>
      </c>
      <c r="J1" s="8" t="s">
        <v>181</v>
      </c>
      <c r="K1" s="8" t="s">
        <v>182</v>
      </c>
      <c r="L1" s="8" t="s">
        <v>183</v>
      </c>
      <c r="M1" s="8" t="s">
        <v>184</v>
      </c>
      <c r="N1" s="8" t="s">
        <v>185</v>
      </c>
      <c r="O1" s="8" t="s">
        <v>186</v>
      </c>
      <c r="P1" s="8" t="s">
        <v>187</v>
      </c>
      <c r="Q1" s="8" t="s">
        <v>188</v>
      </c>
      <c r="R1" s="8" t="s">
        <v>189</v>
      </c>
      <c r="S1" s="8" t="s">
        <v>190</v>
      </c>
      <c r="T1" s="8" t="s">
        <v>191</v>
      </c>
      <c r="U1" s="8" t="s">
        <v>192</v>
      </c>
      <c r="V1" s="8" t="s">
        <v>193</v>
      </c>
      <c r="W1" s="8" t="s">
        <v>180</v>
      </c>
      <c r="X1" s="8" t="s">
        <v>179</v>
      </c>
      <c r="Y1" s="8" t="s">
        <v>216</v>
      </c>
    </row>
    <row r="2" spans="1:25" x14ac:dyDescent="0.35">
      <c r="A2" s="16">
        <v>1</v>
      </c>
      <c r="B2" s="17" t="s">
        <v>52</v>
      </c>
      <c r="C2" s="16">
        <v>3</v>
      </c>
      <c r="D2" s="16">
        <v>3</v>
      </c>
      <c r="E2" s="16">
        <v>2</v>
      </c>
      <c r="F2" s="16">
        <v>3</v>
      </c>
      <c r="G2" s="16">
        <v>2</v>
      </c>
      <c r="H2" s="16">
        <v>4</v>
      </c>
      <c r="I2" s="16">
        <v>3</v>
      </c>
      <c r="J2" s="16">
        <v>2</v>
      </c>
      <c r="K2" s="16">
        <v>4</v>
      </c>
      <c r="L2" s="16">
        <v>3</v>
      </c>
      <c r="M2" s="16">
        <v>3</v>
      </c>
      <c r="N2" s="16">
        <v>3</v>
      </c>
      <c r="O2" s="16">
        <v>3</v>
      </c>
      <c r="P2" s="16">
        <v>3</v>
      </c>
      <c r="Q2" s="16">
        <v>2</v>
      </c>
      <c r="R2" s="16">
        <v>2</v>
      </c>
      <c r="S2" s="16">
        <v>3</v>
      </c>
      <c r="T2" s="16">
        <v>3</v>
      </c>
      <c r="U2" s="16">
        <v>4</v>
      </c>
      <c r="V2" s="16">
        <v>2</v>
      </c>
      <c r="W2" s="16">
        <f>SUM(C2:V2)</f>
        <v>57</v>
      </c>
      <c r="X2" s="16">
        <f>SUM(W2+20)</f>
        <v>77</v>
      </c>
      <c r="Y2" s="2" t="s">
        <v>217</v>
      </c>
    </row>
    <row r="3" spans="1:25" x14ac:dyDescent="0.35">
      <c r="A3" s="16">
        <v>2</v>
      </c>
      <c r="B3" s="17" t="s">
        <v>1</v>
      </c>
      <c r="C3" s="16">
        <v>1</v>
      </c>
      <c r="D3" s="16">
        <v>4</v>
      </c>
      <c r="E3" s="16">
        <v>3</v>
      </c>
      <c r="F3" s="16">
        <v>4</v>
      </c>
      <c r="G3" s="16">
        <v>4</v>
      </c>
      <c r="H3" s="16">
        <v>1</v>
      </c>
      <c r="I3" s="16">
        <v>4</v>
      </c>
      <c r="J3" s="16">
        <v>4</v>
      </c>
      <c r="K3" s="16">
        <v>1</v>
      </c>
      <c r="L3" s="16">
        <v>4</v>
      </c>
      <c r="M3" s="16">
        <v>4</v>
      </c>
      <c r="N3" s="16">
        <v>1</v>
      </c>
      <c r="O3" s="16">
        <v>4</v>
      </c>
      <c r="P3" s="16">
        <v>4</v>
      </c>
      <c r="Q3" s="16">
        <v>1</v>
      </c>
      <c r="R3" s="16">
        <v>3</v>
      </c>
      <c r="S3" s="16">
        <v>3</v>
      </c>
      <c r="T3" s="16">
        <v>3</v>
      </c>
      <c r="U3" s="16">
        <v>3</v>
      </c>
      <c r="V3" s="16">
        <v>2</v>
      </c>
      <c r="W3" s="16">
        <f t="shared" ref="W3:W43" si="0">SUM(C3:V3)</f>
        <v>58</v>
      </c>
      <c r="X3" s="16">
        <f t="shared" ref="X3:X43" si="1">SUM(W3+20)</f>
        <v>78</v>
      </c>
      <c r="Y3" s="2" t="s">
        <v>217</v>
      </c>
    </row>
    <row r="4" spans="1:25" x14ac:dyDescent="0.35">
      <c r="A4" s="16">
        <v>3</v>
      </c>
      <c r="B4" s="17" t="s">
        <v>53</v>
      </c>
      <c r="C4" s="16">
        <v>3</v>
      </c>
      <c r="D4" s="16">
        <v>3</v>
      </c>
      <c r="E4" s="16">
        <v>4</v>
      </c>
      <c r="F4" s="16">
        <v>3</v>
      </c>
      <c r="G4" s="16">
        <v>3</v>
      </c>
      <c r="H4" s="16">
        <v>4</v>
      </c>
      <c r="I4" s="16">
        <v>4</v>
      </c>
      <c r="J4" s="16">
        <v>3</v>
      </c>
      <c r="K4" s="16">
        <v>2</v>
      </c>
      <c r="L4" s="16">
        <v>1</v>
      </c>
      <c r="M4" s="16">
        <v>1</v>
      </c>
      <c r="N4" s="16">
        <v>1</v>
      </c>
      <c r="O4" s="16">
        <v>2</v>
      </c>
      <c r="P4" s="16">
        <v>4</v>
      </c>
      <c r="Q4" s="16">
        <v>3</v>
      </c>
      <c r="R4" s="16">
        <v>2</v>
      </c>
      <c r="S4" s="16">
        <v>1</v>
      </c>
      <c r="T4" s="16">
        <v>3</v>
      </c>
      <c r="U4" s="16">
        <v>2</v>
      </c>
      <c r="V4" s="16">
        <v>1</v>
      </c>
      <c r="W4" s="16">
        <f t="shared" si="0"/>
        <v>50</v>
      </c>
      <c r="X4" s="16">
        <f t="shared" si="1"/>
        <v>70</v>
      </c>
      <c r="Y4" s="2" t="s">
        <v>218</v>
      </c>
    </row>
    <row r="5" spans="1:25" x14ac:dyDescent="0.35">
      <c r="A5" s="16">
        <v>4</v>
      </c>
      <c r="B5" s="17" t="s">
        <v>2</v>
      </c>
      <c r="C5" s="16">
        <v>3</v>
      </c>
      <c r="D5" s="16">
        <v>3</v>
      </c>
      <c r="E5" s="16">
        <v>3</v>
      </c>
      <c r="F5" s="16">
        <v>2</v>
      </c>
      <c r="G5" s="16">
        <v>3</v>
      </c>
      <c r="H5" s="16">
        <v>3</v>
      </c>
      <c r="I5" s="16">
        <v>3</v>
      </c>
      <c r="J5" s="16">
        <v>2</v>
      </c>
      <c r="K5" s="16">
        <v>2</v>
      </c>
      <c r="L5" s="16">
        <v>3</v>
      </c>
      <c r="M5" s="16">
        <v>3</v>
      </c>
      <c r="N5" s="16">
        <v>3</v>
      </c>
      <c r="O5" s="16">
        <v>2</v>
      </c>
      <c r="P5" s="16">
        <v>3</v>
      </c>
      <c r="Q5" s="16">
        <v>3</v>
      </c>
      <c r="R5" s="16">
        <v>3</v>
      </c>
      <c r="S5" s="16">
        <v>3</v>
      </c>
      <c r="T5" s="16">
        <v>3</v>
      </c>
      <c r="U5" s="16">
        <v>2</v>
      </c>
      <c r="V5" s="16">
        <v>2</v>
      </c>
      <c r="W5" s="16">
        <f t="shared" si="0"/>
        <v>54</v>
      </c>
      <c r="X5" s="16">
        <f t="shared" si="1"/>
        <v>74</v>
      </c>
      <c r="Y5" s="2" t="s">
        <v>217</v>
      </c>
    </row>
    <row r="6" spans="1:25" x14ac:dyDescent="0.35">
      <c r="A6" s="16">
        <v>5</v>
      </c>
      <c r="B6" s="17" t="s">
        <v>3</v>
      </c>
      <c r="C6" s="16">
        <v>3</v>
      </c>
      <c r="D6" s="16">
        <v>4</v>
      </c>
      <c r="E6" s="16">
        <v>3</v>
      </c>
      <c r="F6" s="16">
        <v>2</v>
      </c>
      <c r="G6" s="16">
        <v>3</v>
      </c>
      <c r="H6" s="16">
        <v>3</v>
      </c>
      <c r="I6" s="16">
        <v>3</v>
      </c>
      <c r="J6" s="16">
        <v>3</v>
      </c>
      <c r="K6" s="16">
        <v>3</v>
      </c>
      <c r="L6" s="16">
        <v>3</v>
      </c>
      <c r="M6" s="16">
        <v>3</v>
      </c>
      <c r="N6" s="16">
        <v>2</v>
      </c>
      <c r="O6" s="16">
        <v>3</v>
      </c>
      <c r="P6" s="16">
        <v>3</v>
      </c>
      <c r="Q6" s="16">
        <v>3</v>
      </c>
      <c r="R6" s="16">
        <v>3</v>
      </c>
      <c r="S6" s="16">
        <v>3</v>
      </c>
      <c r="T6" s="16">
        <v>3</v>
      </c>
      <c r="U6" s="16">
        <v>3</v>
      </c>
      <c r="V6" s="16">
        <v>3</v>
      </c>
      <c r="W6" s="16">
        <f t="shared" si="0"/>
        <v>59</v>
      </c>
      <c r="X6" s="16">
        <f t="shared" si="1"/>
        <v>79</v>
      </c>
      <c r="Y6" s="2" t="s">
        <v>217</v>
      </c>
    </row>
    <row r="7" spans="1:25" x14ac:dyDescent="0.35">
      <c r="A7" s="16">
        <v>6</v>
      </c>
      <c r="B7" s="17" t="s">
        <v>4</v>
      </c>
      <c r="C7" s="16">
        <v>3</v>
      </c>
      <c r="D7" s="16">
        <v>3</v>
      </c>
      <c r="E7" s="16">
        <v>1</v>
      </c>
      <c r="F7" s="16">
        <v>3</v>
      </c>
      <c r="G7" s="16">
        <v>3</v>
      </c>
      <c r="H7" s="16">
        <v>3</v>
      </c>
      <c r="I7" s="16">
        <v>1</v>
      </c>
      <c r="J7" s="16">
        <v>4</v>
      </c>
      <c r="K7" s="16">
        <v>3</v>
      </c>
      <c r="L7" s="16">
        <v>4</v>
      </c>
      <c r="M7" s="16">
        <v>4</v>
      </c>
      <c r="N7" s="16">
        <v>3</v>
      </c>
      <c r="O7" s="16">
        <v>4</v>
      </c>
      <c r="P7" s="16">
        <v>3</v>
      </c>
      <c r="Q7" s="16">
        <v>4</v>
      </c>
      <c r="R7" s="16">
        <v>3</v>
      </c>
      <c r="S7" s="16">
        <v>2</v>
      </c>
      <c r="T7" s="16">
        <v>1</v>
      </c>
      <c r="U7" s="16">
        <v>3</v>
      </c>
      <c r="V7" s="16">
        <v>4</v>
      </c>
      <c r="W7" s="16">
        <f t="shared" si="0"/>
        <v>59</v>
      </c>
      <c r="X7" s="16">
        <f t="shared" si="1"/>
        <v>79</v>
      </c>
      <c r="Y7" s="2" t="s">
        <v>217</v>
      </c>
    </row>
    <row r="8" spans="1:25" x14ac:dyDescent="0.35">
      <c r="A8" s="16">
        <v>7</v>
      </c>
      <c r="B8" s="17" t="s">
        <v>5</v>
      </c>
      <c r="C8" s="16">
        <v>4</v>
      </c>
      <c r="D8" s="16">
        <v>4</v>
      </c>
      <c r="E8" s="16">
        <v>3</v>
      </c>
      <c r="F8" s="16">
        <v>3</v>
      </c>
      <c r="G8" s="16">
        <v>3</v>
      </c>
      <c r="H8" s="16">
        <v>4</v>
      </c>
      <c r="I8" s="16">
        <v>4</v>
      </c>
      <c r="J8" s="16">
        <v>3</v>
      </c>
      <c r="K8" s="16">
        <v>3</v>
      </c>
      <c r="L8" s="16">
        <v>2</v>
      </c>
      <c r="M8" s="16">
        <v>4</v>
      </c>
      <c r="N8" s="16">
        <v>1</v>
      </c>
      <c r="O8" s="16">
        <v>3</v>
      </c>
      <c r="P8" s="16">
        <v>4</v>
      </c>
      <c r="Q8" s="16">
        <v>2</v>
      </c>
      <c r="R8" s="16">
        <v>3</v>
      </c>
      <c r="S8" s="16">
        <v>3</v>
      </c>
      <c r="T8" s="16">
        <v>2</v>
      </c>
      <c r="U8" s="16">
        <v>3</v>
      </c>
      <c r="V8" s="16">
        <v>2</v>
      </c>
      <c r="W8" s="16">
        <f t="shared" si="0"/>
        <v>60</v>
      </c>
      <c r="X8" s="16">
        <f t="shared" si="1"/>
        <v>80</v>
      </c>
      <c r="Y8" s="2" t="s">
        <v>217</v>
      </c>
    </row>
    <row r="9" spans="1:25" x14ac:dyDescent="0.35">
      <c r="A9" s="16">
        <v>8</v>
      </c>
      <c r="B9" s="17" t="s">
        <v>6</v>
      </c>
      <c r="C9" s="16">
        <v>3</v>
      </c>
      <c r="D9" s="16">
        <v>4</v>
      </c>
      <c r="E9" s="16">
        <v>4</v>
      </c>
      <c r="F9" s="16">
        <v>4</v>
      </c>
      <c r="G9" s="16">
        <v>4</v>
      </c>
      <c r="H9" s="16">
        <v>4</v>
      </c>
      <c r="I9" s="16">
        <v>3</v>
      </c>
      <c r="J9" s="16">
        <v>1</v>
      </c>
      <c r="K9" s="16">
        <v>3</v>
      </c>
      <c r="L9" s="16">
        <v>3</v>
      </c>
      <c r="M9" s="16">
        <v>4</v>
      </c>
      <c r="N9" s="16">
        <v>4</v>
      </c>
      <c r="O9" s="16">
        <v>3</v>
      </c>
      <c r="P9" s="16">
        <v>3</v>
      </c>
      <c r="Q9" s="16">
        <v>2</v>
      </c>
      <c r="R9" s="16">
        <v>4</v>
      </c>
      <c r="S9" s="16">
        <v>3</v>
      </c>
      <c r="T9" s="16">
        <v>3</v>
      </c>
      <c r="U9" s="16">
        <v>3</v>
      </c>
      <c r="V9" s="16">
        <v>4</v>
      </c>
      <c r="W9" s="16">
        <f t="shared" si="0"/>
        <v>66</v>
      </c>
      <c r="X9" s="16">
        <f t="shared" si="1"/>
        <v>86</v>
      </c>
      <c r="Y9" s="2" t="s">
        <v>217</v>
      </c>
    </row>
    <row r="10" spans="1:25" x14ac:dyDescent="0.35">
      <c r="A10" s="16">
        <v>9</v>
      </c>
      <c r="B10" s="17" t="s">
        <v>7</v>
      </c>
      <c r="C10" s="16">
        <v>3</v>
      </c>
      <c r="D10" s="16">
        <v>3</v>
      </c>
      <c r="E10" s="16">
        <v>3</v>
      </c>
      <c r="F10" s="16">
        <v>1</v>
      </c>
      <c r="G10" s="16">
        <v>3</v>
      </c>
      <c r="H10" s="16">
        <v>4</v>
      </c>
      <c r="I10" s="16">
        <v>3</v>
      </c>
      <c r="J10" s="16">
        <v>2</v>
      </c>
      <c r="K10" s="16">
        <v>3</v>
      </c>
      <c r="L10" s="16">
        <v>3</v>
      </c>
      <c r="M10" s="16">
        <v>4</v>
      </c>
      <c r="N10" s="16">
        <v>3</v>
      </c>
      <c r="O10" s="16">
        <v>2</v>
      </c>
      <c r="P10" s="16">
        <v>2</v>
      </c>
      <c r="Q10" s="16">
        <v>3</v>
      </c>
      <c r="R10" s="16">
        <v>2</v>
      </c>
      <c r="S10" s="16">
        <v>4</v>
      </c>
      <c r="T10" s="16">
        <v>3</v>
      </c>
      <c r="U10" s="16">
        <v>2</v>
      </c>
      <c r="V10" s="16">
        <v>4</v>
      </c>
      <c r="W10" s="16">
        <f t="shared" si="0"/>
        <v>57</v>
      </c>
      <c r="X10" s="16">
        <f t="shared" si="1"/>
        <v>77</v>
      </c>
      <c r="Y10" s="2" t="s">
        <v>217</v>
      </c>
    </row>
    <row r="11" spans="1:25" x14ac:dyDescent="0.35">
      <c r="A11" s="16">
        <v>10</v>
      </c>
      <c r="B11" s="17" t="s">
        <v>54</v>
      </c>
      <c r="C11" s="16">
        <v>3</v>
      </c>
      <c r="D11" s="16">
        <v>3</v>
      </c>
      <c r="E11" s="16">
        <v>3</v>
      </c>
      <c r="F11" s="16">
        <v>1</v>
      </c>
      <c r="G11" s="16">
        <v>3</v>
      </c>
      <c r="H11" s="16">
        <v>4</v>
      </c>
      <c r="I11" s="16">
        <v>3</v>
      </c>
      <c r="J11" s="16">
        <v>2</v>
      </c>
      <c r="K11" s="16">
        <v>3</v>
      </c>
      <c r="L11" s="16">
        <v>3</v>
      </c>
      <c r="M11" s="16">
        <v>4</v>
      </c>
      <c r="N11" s="16">
        <v>3</v>
      </c>
      <c r="O11" s="16">
        <v>2</v>
      </c>
      <c r="P11" s="16">
        <v>3</v>
      </c>
      <c r="Q11" s="16">
        <v>3</v>
      </c>
      <c r="R11" s="16">
        <v>2</v>
      </c>
      <c r="S11" s="16">
        <v>4</v>
      </c>
      <c r="T11" s="16">
        <v>3</v>
      </c>
      <c r="U11" s="16">
        <v>2</v>
      </c>
      <c r="V11" s="16">
        <v>1</v>
      </c>
      <c r="W11" s="16">
        <f t="shared" si="0"/>
        <v>55</v>
      </c>
      <c r="X11" s="16">
        <f t="shared" si="1"/>
        <v>75</v>
      </c>
      <c r="Y11" s="2" t="s">
        <v>218</v>
      </c>
    </row>
    <row r="12" spans="1:25" x14ac:dyDescent="0.35">
      <c r="A12" s="16">
        <v>11</v>
      </c>
      <c r="B12" s="17" t="s">
        <v>9</v>
      </c>
      <c r="C12" s="16">
        <v>3</v>
      </c>
      <c r="D12" s="16">
        <v>1</v>
      </c>
      <c r="E12" s="16">
        <v>3</v>
      </c>
      <c r="F12" s="16">
        <v>1</v>
      </c>
      <c r="G12" s="16">
        <v>3</v>
      </c>
      <c r="H12" s="16">
        <v>2</v>
      </c>
      <c r="I12" s="16">
        <v>3</v>
      </c>
      <c r="J12" s="16">
        <v>1</v>
      </c>
      <c r="K12" s="16">
        <v>1</v>
      </c>
      <c r="L12" s="16">
        <v>3</v>
      </c>
      <c r="M12" s="16">
        <v>3</v>
      </c>
      <c r="N12" s="16">
        <v>4</v>
      </c>
      <c r="O12" s="16">
        <v>4</v>
      </c>
      <c r="P12" s="16">
        <v>3</v>
      </c>
      <c r="Q12" s="16">
        <v>3</v>
      </c>
      <c r="R12" s="16">
        <v>1</v>
      </c>
      <c r="S12" s="16">
        <v>4</v>
      </c>
      <c r="T12" s="16">
        <v>4</v>
      </c>
      <c r="U12" s="16">
        <v>3</v>
      </c>
      <c r="V12" s="16">
        <v>1</v>
      </c>
      <c r="W12" s="16">
        <f t="shared" si="0"/>
        <v>51</v>
      </c>
      <c r="X12" s="16">
        <f t="shared" si="1"/>
        <v>71</v>
      </c>
      <c r="Y12" s="2" t="s">
        <v>218</v>
      </c>
    </row>
    <row r="13" spans="1:25" x14ac:dyDescent="0.35">
      <c r="A13" s="16">
        <v>12</v>
      </c>
      <c r="B13" s="17" t="s">
        <v>10</v>
      </c>
      <c r="C13" s="16">
        <v>3</v>
      </c>
      <c r="D13" s="16">
        <v>1</v>
      </c>
      <c r="E13" s="16">
        <v>3</v>
      </c>
      <c r="F13" s="16">
        <v>2</v>
      </c>
      <c r="G13" s="16">
        <v>1</v>
      </c>
      <c r="H13" s="16">
        <v>3</v>
      </c>
      <c r="I13" s="16">
        <v>1</v>
      </c>
      <c r="J13" s="16">
        <v>2</v>
      </c>
      <c r="K13" s="16">
        <v>4</v>
      </c>
      <c r="L13" s="16">
        <v>2</v>
      </c>
      <c r="M13" s="16">
        <v>1</v>
      </c>
      <c r="N13" s="16">
        <v>3</v>
      </c>
      <c r="O13" s="16">
        <v>1</v>
      </c>
      <c r="P13" s="16">
        <v>2</v>
      </c>
      <c r="Q13" s="16">
        <v>4</v>
      </c>
      <c r="R13" s="16">
        <v>3</v>
      </c>
      <c r="S13" s="16">
        <v>4</v>
      </c>
      <c r="T13" s="16">
        <v>3</v>
      </c>
      <c r="U13" s="16">
        <v>4</v>
      </c>
      <c r="V13" s="16">
        <v>1</v>
      </c>
      <c r="W13" s="16">
        <f t="shared" si="0"/>
        <v>48</v>
      </c>
      <c r="X13" s="16">
        <f t="shared" si="1"/>
        <v>68</v>
      </c>
      <c r="Y13" s="2" t="s">
        <v>218</v>
      </c>
    </row>
    <row r="14" spans="1:25" x14ac:dyDescent="0.35">
      <c r="A14" s="16">
        <v>13</v>
      </c>
      <c r="B14" s="17" t="s">
        <v>11</v>
      </c>
      <c r="C14" s="16">
        <v>3</v>
      </c>
      <c r="D14" s="16">
        <v>1</v>
      </c>
      <c r="E14" s="16">
        <v>2</v>
      </c>
      <c r="F14" s="16">
        <v>3</v>
      </c>
      <c r="G14" s="16">
        <v>1</v>
      </c>
      <c r="H14" s="16">
        <v>3</v>
      </c>
      <c r="I14" s="16">
        <v>4</v>
      </c>
      <c r="J14" s="16">
        <v>2</v>
      </c>
      <c r="K14" s="16">
        <v>3</v>
      </c>
      <c r="L14" s="16">
        <v>4</v>
      </c>
      <c r="M14" s="16">
        <v>3</v>
      </c>
      <c r="N14" s="16">
        <v>3</v>
      </c>
      <c r="O14" s="16">
        <v>4</v>
      </c>
      <c r="P14" s="16">
        <v>4</v>
      </c>
      <c r="Q14" s="16">
        <v>4</v>
      </c>
      <c r="R14" s="16">
        <v>4</v>
      </c>
      <c r="S14" s="16">
        <v>3</v>
      </c>
      <c r="T14" s="16">
        <v>3</v>
      </c>
      <c r="U14" s="16">
        <v>4</v>
      </c>
      <c r="V14" s="16">
        <v>3</v>
      </c>
      <c r="W14" s="16">
        <f t="shared" si="0"/>
        <v>61</v>
      </c>
      <c r="X14" s="16">
        <f t="shared" si="1"/>
        <v>81</v>
      </c>
      <c r="Y14" s="2" t="s">
        <v>217</v>
      </c>
    </row>
    <row r="15" spans="1:25" x14ac:dyDescent="0.35">
      <c r="A15" s="16">
        <v>14</v>
      </c>
      <c r="B15" s="17" t="s">
        <v>12</v>
      </c>
      <c r="C15" s="16">
        <v>4</v>
      </c>
      <c r="D15" s="16">
        <v>2</v>
      </c>
      <c r="E15" s="16">
        <v>1</v>
      </c>
      <c r="F15" s="16">
        <v>3</v>
      </c>
      <c r="G15" s="16">
        <v>1</v>
      </c>
      <c r="H15" s="16">
        <v>3</v>
      </c>
      <c r="I15" s="16">
        <v>4</v>
      </c>
      <c r="J15" s="16">
        <v>2</v>
      </c>
      <c r="K15" s="16">
        <v>3</v>
      </c>
      <c r="L15" s="16">
        <v>4</v>
      </c>
      <c r="M15" s="16">
        <v>3</v>
      </c>
      <c r="N15" s="16">
        <v>4</v>
      </c>
      <c r="O15" s="16">
        <v>3</v>
      </c>
      <c r="P15" s="16">
        <v>2</v>
      </c>
      <c r="Q15" s="16">
        <v>1</v>
      </c>
      <c r="R15" s="16">
        <v>2</v>
      </c>
      <c r="S15" s="16">
        <v>3</v>
      </c>
      <c r="T15" s="16">
        <v>1</v>
      </c>
      <c r="U15" s="16">
        <v>4</v>
      </c>
      <c r="V15" s="16">
        <v>3</v>
      </c>
      <c r="W15" s="16">
        <f t="shared" si="0"/>
        <v>53</v>
      </c>
      <c r="X15" s="16">
        <f t="shared" si="1"/>
        <v>73</v>
      </c>
      <c r="Y15" s="2" t="s">
        <v>218</v>
      </c>
    </row>
    <row r="16" spans="1:25" x14ac:dyDescent="0.35">
      <c r="A16" s="16">
        <v>15</v>
      </c>
      <c r="B16" s="17" t="s">
        <v>13</v>
      </c>
      <c r="C16" s="16">
        <v>3</v>
      </c>
      <c r="D16" s="16">
        <v>3</v>
      </c>
      <c r="E16" s="16">
        <v>3</v>
      </c>
      <c r="F16" s="16">
        <v>3</v>
      </c>
      <c r="G16" s="16">
        <v>2</v>
      </c>
      <c r="H16" s="16">
        <v>3</v>
      </c>
      <c r="I16" s="16">
        <v>1</v>
      </c>
      <c r="J16" s="16">
        <v>3</v>
      </c>
      <c r="K16" s="16">
        <v>3</v>
      </c>
      <c r="L16" s="16">
        <v>2</v>
      </c>
      <c r="M16" s="16">
        <v>2</v>
      </c>
      <c r="N16" s="16">
        <v>3</v>
      </c>
      <c r="O16" s="16">
        <v>3</v>
      </c>
      <c r="P16" s="16">
        <v>3</v>
      </c>
      <c r="Q16" s="16">
        <v>3</v>
      </c>
      <c r="R16" s="16">
        <v>3</v>
      </c>
      <c r="S16" s="16">
        <v>2</v>
      </c>
      <c r="T16" s="16">
        <v>4</v>
      </c>
      <c r="U16" s="16">
        <v>1</v>
      </c>
      <c r="V16" s="16">
        <v>3</v>
      </c>
      <c r="W16" s="16">
        <f t="shared" si="0"/>
        <v>53</v>
      </c>
      <c r="X16" s="16">
        <f t="shared" si="1"/>
        <v>73</v>
      </c>
      <c r="Y16" s="2" t="s">
        <v>218</v>
      </c>
    </row>
    <row r="17" spans="1:25" x14ac:dyDescent="0.35">
      <c r="A17" s="16">
        <v>16</v>
      </c>
      <c r="B17" s="17" t="s">
        <v>14</v>
      </c>
      <c r="C17" s="16">
        <v>3</v>
      </c>
      <c r="D17" s="16">
        <v>4</v>
      </c>
      <c r="E17" s="16">
        <v>3</v>
      </c>
      <c r="F17" s="16">
        <v>2</v>
      </c>
      <c r="G17" s="16">
        <v>2</v>
      </c>
      <c r="H17" s="16">
        <v>3</v>
      </c>
      <c r="I17" s="16">
        <v>2</v>
      </c>
      <c r="J17" s="16">
        <v>2</v>
      </c>
      <c r="K17" s="16">
        <v>3</v>
      </c>
      <c r="L17" s="16">
        <v>2</v>
      </c>
      <c r="M17" s="16">
        <v>2</v>
      </c>
      <c r="N17" s="16">
        <v>3</v>
      </c>
      <c r="O17" s="16">
        <v>2</v>
      </c>
      <c r="P17" s="16">
        <v>2</v>
      </c>
      <c r="Q17" s="16">
        <v>3</v>
      </c>
      <c r="R17" s="16">
        <v>3</v>
      </c>
      <c r="S17" s="16">
        <v>3</v>
      </c>
      <c r="T17" s="16">
        <v>3</v>
      </c>
      <c r="U17" s="16">
        <v>3</v>
      </c>
      <c r="V17" s="16">
        <v>2</v>
      </c>
      <c r="W17" s="16">
        <f t="shared" si="0"/>
        <v>52</v>
      </c>
      <c r="X17" s="16">
        <f t="shared" si="1"/>
        <v>72</v>
      </c>
      <c r="Y17" s="2" t="s">
        <v>218</v>
      </c>
    </row>
    <row r="18" spans="1:25" x14ac:dyDescent="0.35">
      <c r="A18" s="16">
        <v>17</v>
      </c>
      <c r="B18" s="17" t="s">
        <v>15</v>
      </c>
      <c r="C18" s="16">
        <v>3</v>
      </c>
      <c r="D18" s="16">
        <v>2</v>
      </c>
      <c r="E18" s="16">
        <v>4</v>
      </c>
      <c r="F18" s="16">
        <v>3</v>
      </c>
      <c r="G18" s="16">
        <v>4</v>
      </c>
      <c r="H18" s="16">
        <v>3</v>
      </c>
      <c r="I18" s="16">
        <v>1</v>
      </c>
      <c r="J18" s="16">
        <v>3</v>
      </c>
      <c r="K18" s="16">
        <v>1</v>
      </c>
      <c r="L18" s="16">
        <v>2</v>
      </c>
      <c r="M18" s="16">
        <v>1</v>
      </c>
      <c r="N18" s="16">
        <v>2</v>
      </c>
      <c r="O18" s="16">
        <v>4</v>
      </c>
      <c r="P18" s="16">
        <v>2</v>
      </c>
      <c r="Q18" s="16">
        <v>4</v>
      </c>
      <c r="R18" s="16">
        <v>4</v>
      </c>
      <c r="S18" s="16">
        <v>1</v>
      </c>
      <c r="T18" s="16">
        <v>2</v>
      </c>
      <c r="U18" s="16">
        <v>3</v>
      </c>
      <c r="V18" s="16">
        <v>4</v>
      </c>
      <c r="W18" s="16">
        <f t="shared" si="0"/>
        <v>53</v>
      </c>
      <c r="X18" s="16">
        <f t="shared" si="1"/>
        <v>73</v>
      </c>
      <c r="Y18" s="2" t="s">
        <v>218</v>
      </c>
    </row>
    <row r="19" spans="1:25" x14ac:dyDescent="0.35">
      <c r="A19" s="16">
        <v>18</v>
      </c>
      <c r="B19" s="17" t="s">
        <v>16</v>
      </c>
      <c r="C19" s="16">
        <v>4</v>
      </c>
      <c r="D19" s="16">
        <v>4</v>
      </c>
      <c r="E19" s="16">
        <v>4</v>
      </c>
      <c r="F19" s="16">
        <v>4</v>
      </c>
      <c r="G19" s="16">
        <v>3</v>
      </c>
      <c r="H19" s="16">
        <v>4</v>
      </c>
      <c r="I19" s="16">
        <v>4</v>
      </c>
      <c r="J19" s="16">
        <v>1</v>
      </c>
      <c r="K19" s="16">
        <v>3</v>
      </c>
      <c r="L19" s="16">
        <v>4</v>
      </c>
      <c r="M19" s="16">
        <v>3</v>
      </c>
      <c r="N19" s="16">
        <v>4</v>
      </c>
      <c r="O19" s="16">
        <v>1</v>
      </c>
      <c r="P19" s="16">
        <v>4</v>
      </c>
      <c r="Q19" s="16">
        <v>4</v>
      </c>
      <c r="R19" s="16">
        <v>4</v>
      </c>
      <c r="S19" s="16">
        <v>1</v>
      </c>
      <c r="T19" s="16">
        <v>4</v>
      </c>
      <c r="U19" s="16">
        <v>1</v>
      </c>
      <c r="V19" s="16">
        <v>1</v>
      </c>
      <c r="W19" s="16">
        <f t="shared" si="0"/>
        <v>62</v>
      </c>
      <c r="X19" s="16">
        <f t="shared" si="1"/>
        <v>82</v>
      </c>
      <c r="Y19" s="2" t="s">
        <v>217</v>
      </c>
    </row>
    <row r="20" spans="1:25" x14ac:dyDescent="0.35">
      <c r="A20" s="16">
        <v>19</v>
      </c>
      <c r="B20" s="17" t="s">
        <v>55</v>
      </c>
      <c r="C20" s="16">
        <v>3</v>
      </c>
      <c r="D20" s="16">
        <v>3</v>
      </c>
      <c r="E20" s="16">
        <v>3</v>
      </c>
      <c r="F20" s="16">
        <v>3</v>
      </c>
      <c r="G20" s="16">
        <v>4</v>
      </c>
      <c r="H20" s="16">
        <v>4</v>
      </c>
      <c r="I20" s="16">
        <v>4</v>
      </c>
      <c r="J20" s="16">
        <v>2</v>
      </c>
      <c r="K20" s="16">
        <v>4</v>
      </c>
      <c r="L20" s="16">
        <v>4</v>
      </c>
      <c r="M20" s="16">
        <v>4</v>
      </c>
      <c r="N20" s="16">
        <v>4</v>
      </c>
      <c r="O20" s="16">
        <v>2</v>
      </c>
      <c r="P20" s="16">
        <v>4</v>
      </c>
      <c r="Q20" s="16">
        <v>3</v>
      </c>
      <c r="R20" s="16">
        <v>1</v>
      </c>
      <c r="S20" s="16">
        <v>3</v>
      </c>
      <c r="T20" s="16">
        <v>1</v>
      </c>
      <c r="U20" s="16">
        <v>2</v>
      </c>
      <c r="V20" s="16">
        <v>2</v>
      </c>
      <c r="W20" s="16">
        <f t="shared" si="0"/>
        <v>60</v>
      </c>
      <c r="X20" s="16">
        <f t="shared" si="1"/>
        <v>80</v>
      </c>
      <c r="Y20" s="2" t="s">
        <v>217</v>
      </c>
    </row>
    <row r="21" spans="1:25" x14ac:dyDescent="0.35">
      <c r="A21" s="16">
        <v>20</v>
      </c>
      <c r="B21" s="17" t="s">
        <v>18</v>
      </c>
      <c r="C21" s="16">
        <v>3</v>
      </c>
      <c r="D21" s="16">
        <v>3</v>
      </c>
      <c r="E21" s="16">
        <v>3</v>
      </c>
      <c r="F21" s="16">
        <v>3</v>
      </c>
      <c r="G21" s="16">
        <v>4</v>
      </c>
      <c r="H21" s="16">
        <v>3</v>
      </c>
      <c r="I21" s="16">
        <v>3</v>
      </c>
      <c r="J21" s="16">
        <v>2</v>
      </c>
      <c r="K21" s="16">
        <v>3</v>
      </c>
      <c r="L21" s="16">
        <v>3</v>
      </c>
      <c r="M21" s="16">
        <v>3</v>
      </c>
      <c r="N21" s="16">
        <v>3</v>
      </c>
      <c r="O21" s="16">
        <v>3</v>
      </c>
      <c r="P21" s="16">
        <v>3</v>
      </c>
      <c r="Q21" s="16">
        <v>3</v>
      </c>
      <c r="R21" s="16">
        <v>3</v>
      </c>
      <c r="S21" s="16">
        <v>4</v>
      </c>
      <c r="T21" s="16">
        <v>2</v>
      </c>
      <c r="U21" s="16">
        <v>1</v>
      </c>
      <c r="V21" s="16">
        <v>4</v>
      </c>
      <c r="W21" s="16">
        <f t="shared" si="0"/>
        <v>59</v>
      </c>
      <c r="X21" s="16">
        <f t="shared" si="1"/>
        <v>79</v>
      </c>
      <c r="Y21" s="2" t="s">
        <v>217</v>
      </c>
    </row>
    <row r="22" spans="1:25" x14ac:dyDescent="0.35">
      <c r="A22" s="16">
        <v>21</v>
      </c>
      <c r="B22" s="17" t="s">
        <v>19</v>
      </c>
      <c r="C22" s="16">
        <v>3</v>
      </c>
      <c r="D22" s="16">
        <v>3</v>
      </c>
      <c r="E22" s="16">
        <v>3</v>
      </c>
      <c r="F22" s="16">
        <v>2</v>
      </c>
      <c r="G22" s="16">
        <v>2</v>
      </c>
      <c r="H22" s="16">
        <v>4</v>
      </c>
      <c r="I22" s="16">
        <v>3</v>
      </c>
      <c r="J22" s="16">
        <v>2</v>
      </c>
      <c r="K22" s="16">
        <v>1</v>
      </c>
      <c r="L22" s="16">
        <v>4</v>
      </c>
      <c r="M22" s="16">
        <v>2</v>
      </c>
      <c r="N22" s="16">
        <v>3</v>
      </c>
      <c r="O22" s="16">
        <v>3</v>
      </c>
      <c r="P22" s="16">
        <v>2</v>
      </c>
      <c r="Q22" s="16">
        <v>2</v>
      </c>
      <c r="R22" s="16">
        <v>3</v>
      </c>
      <c r="S22" s="16">
        <v>3</v>
      </c>
      <c r="T22" s="16">
        <v>2</v>
      </c>
      <c r="U22" s="16">
        <v>4</v>
      </c>
      <c r="V22" s="16">
        <v>2</v>
      </c>
      <c r="W22" s="16">
        <f t="shared" si="0"/>
        <v>53</v>
      </c>
      <c r="X22" s="16">
        <f t="shared" si="1"/>
        <v>73</v>
      </c>
      <c r="Y22" s="2" t="s">
        <v>218</v>
      </c>
    </row>
    <row r="23" spans="1:25" x14ac:dyDescent="0.35">
      <c r="A23" s="16">
        <v>22</v>
      </c>
      <c r="B23" s="17" t="s">
        <v>20</v>
      </c>
      <c r="C23" s="16">
        <v>3</v>
      </c>
      <c r="D23" s="16">
        <v>2</v>
      </c>
      <c r="E23" s="16">
        <v>3</v>
      </c>
      <c r="F23" s="16">
        <v>3</v>
      </c>
      <c r="G23" s="16">
        <v>3</v>
      </c>
      <c r="H23" s="16">
        <v>3</v>
      </c>
      <c r="I23" s="16">
        <v>3</v>
      </c>
      <c r="J23" s="16">
        <v>3</v>
      </c>
      <c r="K23" s="16">
        <v>3</v>
      </c>
      <c r="L23" s="16">
        <v>2</v>
      </c>
      <c r="M23" s="16">
        <v>3</v>
      </c>
      <c r="N23" s="16">
        <v>3</v>
      </c>
      <c r="O23" s="16">
        <v>3</v>
      </c>
      <c r="P23" s="16">
        <v>3</v>
      </c>
      <c r="Q23" s="16">
        <v>3</v>
      </c>
      <c r="R23" s="16">
        <v>3</v>
      </c>
      <c r="S23" s="16">
        <v>3</v>
      </c>
      <c r="T23" s="16">
        <v>3</v>
      </c>
      <c r="U23" s="16">
        <v>3</v>
      </c>
      <c r="V23" s="16">
        <v>3</v>
      </c>
      <c r="W23" s="16">
        <f t="shared" si="0"/>
        <v>58</v>
      </c>
      <c r="X23" s="16">
        <f t="shared" si="1"/>
        <v>78</v>
      </c>
      <c r="Y23" s="2" t="s">
        <v>217</v>
      </c>
    </row>
    <row r="24" spans="1:25" x14ac:dyDescent="0.35">
      <c r="A24" s="16">
        <v>23</v>
      </c>
      <c r="B24" s="17" t="s">
        <v>21</v>
      </c>
      <c r="C24" s="16">
        <v>3</v>
      </c>
      <c r="D24" s="16">
        <v>3</v>
      </c>
      <c r="E24" s="16">
        <v>4</v>
      </c>
      <c r="F24" s="16">
        <v>3</v>
      </c>
      <c r="G24" s="16">
        <v>2</v>
      </c>
      <c r="H24" s="16">
        <v>2</v>
      </c>
      <c r="I24" s="16">
        <v>2</v>
      </c>
      <c r="J24" s="16">
        <v>2</v>
      </c>
      <c r="K24" s="16">
        <v>3</v>
      </c>
      <c r="L24" s="16">
        <v>2</v>
      </c>
      <c r="M24" s="16">
        <v>2</v>
      </c>
      <c r="N24" s="16">
        <v>4</v>
      </c>
      <c r="O24" s="16">
        <v>1</v>
      </c>
      <c r="P24" s="16">
        <v>2</v>
      </c>
      <c r="Q24" s="16">
        <v>2</v>
      </c>
      <c r="R24" s="16">
        <v>3</v>
      </c>
      <c r="S24" s="16">
        <v>3</v>
      </c>
      <c r="T24" s="16">
        <v>3</v>
      </c>
      <c r="U24" s="16">
        <v>3</v>
      </c>
      <c r="V24" s="16">
        <v>2</v>
      </c>
      <c r="W24" s="16">
        <f t="shared" si="0"/>
        <v>51</v>
      </c>
      <c r="X24" s="16">
        <f t="shared" si="1"/>
        <v>71</v>
      </c>
      <c r="Y24" s="2" t="s">
        <v>218</v>
      </c>
    </row>
    <row r="25" spans="1:25" x14ac:dyDescent="0.35">
      <c r="A25" s="16">
        <v>24</v>
      </c>
      <c r="B25" s="17" t="s">
        <v>22</v>
      </c>
      <c r="C25" s="16">
        <v>3</v>
      </c>
      <c r="D25" s="16">
        <v>2</v>
      </c>
      <c r="E25" s="16">
        <v>3</v>
      </c>
      <c r="F25" s="16">
        <v>3</v>
      </c>
      <c r="G25" s="16">
        <v>3</v>
      </c>
      <c r="H25" s="16">
        <v>3</v>
      </c>
      <c r="I25" s="16">
        <v>3</v>
      </c>
      <c r="J25" s="16">
        <v>3</v>
      </c>
      <c r="K25" s="16">
        <v>3</v>
      </c>
      <c r="L25" s="16">
        <v>2</v>
      </c>
      <c r="M25" s="16">
        <v>3</v>
      </c>
      <c r="N25" s="16">
        <v>3</v>
      </c>
      <c r="O25" s="16">
        <v>3</v>
      </c>
      <c r="P25" s="16">
        <v>3</v>
      </c>
      <c r="Q25" s="16">
        <v>3</v>
      </c>
      <c r="R25" s="16">
        <v>3</v>
      </c>
      <c r="S25" s="16">
        <v>3</v>
      </c>
      <c r="T25" s="16">
        <v>3</v>
      </c>
      <c r="U25" s="16">
        <v>3</v>
      </c>
      <c r="V25" s="16">
        <v>3</v>
      </c>
      <c r="W25" s="16">
        <f t="shared" si="0"/>
        <v>58</v>
      </c>
      <c r="X25" s="16">
        <f t="shared" si="1"/>
        <v>78</v>
      </c>
      <c r="Y25" s="2" t="s">
        <v>217</v>
      </c>
    </row>
    <row r="26" spans="1:25" x14ac:dyDescent="0.35">
      <c r="A26" s="16">
        <v>25</v>
      </c>
      <c r="B26" s="17" t="s">
        <v>23</v>
      </c>
      <c r="C26" s="16">
        <v>3</v>
      </c>
      <c r="D26" s="16">
        <v>4</v>
      </c>
      <c r="E26" s="16">
        <v>3</v>
      </c>
      <c r="F26" s="16">
        <v>2</v>
      </c>
      <c r="G26" s="16">
        <v>2</v>
      </c>
      <c r="H26" s="16">
        <v>3</v>
      </c>
      <c r="I26" s="16">
        <v>2</v>
      </c>
      <c r="J26" s="16">
        <v>2</v>
      </c>
      <c r="K26" s="16">
        <v>3</v>
      </c>
      <c r="L26" s="16">
        <v>2</v>
      </c>
      <c r="M26" s="16">
        <v>2</v>
      </c>
      <c r="N26" s="16">
        <v>3</v>
      </c>
      <c r="O26" s="16">
        <v>2</v>
      </c>
      <c r="P26" s="16">
        <v>2</v>
      </c>
      <c r="Q26" s="16">
        <v>3</v>
      </c>
      <c r="R26" s="16">
        <v>3</v>
      </c>
      <c r="S26" s="16">
        <v>3</v>
      </c>
      <c r="T26" s="16">
        <v>3</v>
      </c>
      <c r="U26" s="16">
        <v>3</v>
      </c>
      <c r="V26" s="16">
        <v>2</v>
      </c>
      <c r="W26" s="16">
        <f t="shared" si="0"/>
        <v>52</v>
      </c>
      <c r="X26" s="16">
        <f t="shared" si="1"/>
        <v>72</v>
      </c>
      <c r="Y26" s="2" t="s">
        <v>218</v>
      </c>
    </row>
    <row r="27" spans="1:25" x14ac:dyDescent="0.35">
      <c r="A27" s="16">
        <v>26</v>
      </c>
      <c r="B27" s="17" t="s">
        <v>24</v>
      </c>
      <c r="C27" s="16">
        <v>3</v>
      </c>
      <c r="D27" s="16">
        <v>3</v>
      </c>
      <c r="E27" s="16">
        <v>4</v>
      </c>
      <c r="F27" s="16">
        <v>4</v>
      </c>
      <c r="G27" s="16">
        <v>2</v>
      </c>
      <c r="H27" s="16">
        <v>4</v>
      </c>
      <c r="I27" s="16">
        <v>2</v>
      </c>
      <c r="J27" s="16">
        <v>4</v>
      </c>
      <c r="K27" s="16">
        <v>3</v>
      </c>
      <c r="L27" s="16">
        <v>3</v>
      </c>
      <c r="M27" s="16">
        <v>1</v>
      </c>
      <c r="N27" s="16">
        <v>1</v>
      </c>
      <c r="O27" s="16">
        <v>2</v>
      </c>
      <c r="P27" s="16">
        <v>4</v>
      </c>
      <c r="Q27" s="16">
        <v>2</v>
      </c>
      <c r="R27" s="16">
        <v>4</v>
      </c>
      <c r="S27" s="16">
        <v>2</v>
      </c>
      <c r="T27" s="16">
        <v>3</v>
      </c>
      <c r="U27" s="16">
        <v>4</v>
      </c>
      <c r="V27" s="16">
        <v>4</v>
      </c>
      <c r="W27" s="16">
        <f t="shared" si="0"/>
        <v>59</v>
      </c>
      <c r="X27" s="16">
        <f t="shared" si="1"/>
        <v>79</v>
      </c>
      <c r="Y27" s="2" t="s">
        <v>217</v>
      </c>
    </row>
    <row r="28" spans="1:25" x14ac:dyDescent="0.35">
      <c r="A28" s="16">
        <v>27</v>
      </c>
      <c r="B28" s="17" t="s">
        <v>25</v>
      </c>
      <c r="C28" s="16">
        <v>3</v>
      </c>
      <c r="D28" s="16">
        <v>3</v>
      </c>
      <c r="E28" s="16">
        <v>4</v>
      </c>
      <c r="F28" s="16">
        <v>3</v>
      </c>
      <c r="G28" s="16">
        <v>4</v>
      </c>
      <c r="H28" s="16">
        <v>3</v>
      </c>
      <c r="I28" s="16">
        <v>1</v>
      </c>
      <c r="J28" s="16">
        <v>3</v>
      </c>
      <c r="K28" s="16">
        <v>3</v>
      </c>
      <c r="L28" s="16">
        <v>2</v>
      </c>
      <c r="M28" s="16">
        <v>1</v>
      </c>
      <c r="N28" s="16">
        <v>2</v>
      </c>
      <c r="O28" s="16">
        <v>1</v>
      </c>
      <c r="P28" s="16">
        <v>4</v>
      </c>
      <c r="Q28" s="16">
        <v>4</v>
      </c>
      <c r="R28" s="16">
        <v>4</v>
      </c>
      <c r="S28" s="16">
        <v>3</v>
      </c>
      <c r="T28" s="16">
        <v>1</v>
      </c>
      <c r="U28" s="16">
        <v>2</v>
      </c>
      <c r="V28" s="16">
        <v>2</v>
      </c>
      <c r="W28" s="16">
        <f t="shared" si="0"/>
        <v>53</v>
      </c>
      <c r="X28" s="16">
        <f t="shared" si="1"/>
        <v>73</v>
      </c>
      <c r="Y28" s="2" t="s">
        <v>218</v>
      </c>
    </row>
    <row r="29" spans="1:25" x14ac:dyDescent="0.35">
      <c r="A29" s="16">
        <v>28</v>
      </c>
      <c r="B29" s="17" t="s">
        <v>56</v>
      </c>
      <c r="C29" s="16">
        <v>3</v>
      </c>
      <c r="D29" s="16">
        <v>3</v>
      </c>
      <c r="E29" s="16">
        <v>2</v>
      </c>
      <c r="F29" s="16">
        <v>1</v>
      </c>
      <c r="G29" s="16">
        <v>3</v>
      </c>
      <c r="H29" s="16">
        <v>1</v>
      </c>
      <c r="I29" s="16">
        <v>4</v>
      </c>
      <c r="J29" s="16">
        <v>2</v>
      </c>
      <c r="K29" s="16">
        <v>1</v>
      </c>
      <c r="L29" s="16">
        <v>2</v>
      </c>
      <c r="M29" s="16">
        <v>3</v>
      </c>
      <c r="N29" s="16">
        <v>1</v>
      </c>
      <c r="O29" s="16">
        <v>3</v>
      </c>
      <c r="P29" s="16">
        <v>4</v>
      </c>
      <c r="Q29" s="16">
        <v>4</v>
      </c>
      <c r="R29" s="16">
        <v>2</v>
      </c>
      <c r="S29" s="16">
        <v>2</v>
      </c>
      <c r="T29" s="16">
        <v>4</v>
      </c>
      <c r="U29" s="16">
        <v>1</v>
      </c>
      <c r="V29" s="16">
        <v>2</v>
      </c>
      <c r="W29" s="16">
        <f t="shared" si="0"/>
        <v>48</v>
      </c>
      <c r="X29" s="16">
        <f t="shared" si="1"/>
        <v>68</v>
      </c>
      <c r="Y29" s="2" t="s">
        <v>218</v>
      </c>
    </row>
    <row r="30" spans="1:25" x14ac:dyDescent="0.35">
      <c r="A30" s="16">
        <v>29</v>
      </c>
      <c r="B30" s="17" t="s">
        <v>27</v>
      </c>
      <c r="C30" s="16">
        <v>3</v>
      </c>
      <c r="D30" s="16">
        <v>4</v>
      </c>
      <c r="E30" s="16">
        <v>2</v>
      </c>
      <c r="F30" s="16">
        <v>2</v>
      </c>
      <c r="G30" s="16">
        <v>2</v>
      </c>
      <c r="H30" s="16">
        <v>3</v>
      </c>
      <c r="I30" s="16">
        <v>2</v>
      </c>
      <c r="J30" s="16">
        <v>2</v>
      </c>
      <c r="K30" s="16">
        <v>3</v>
      </c>
      <c r="L30" s="16">
        <v>2</v>
      </c>
      <c r="M30" s="16">
        <v>2</v>
      </c>
      <c r="N30" s="16">
        <v>3</v>
      </c>
      <c r="O30" s="16">
        <v>2</v>
      </c>
      <c r="P30" s="16">
        <v>2</v>
      </c>
      <c r="Q30" s="16">
        <v>3</v>
      </c>
      <c r="R30" s="16">
        <v>3</v>
      </c>
      <c r="S30" s="16">
        <v>3</v>
      </c>
      <c r="T30" s="16">
        <v>3</v>
      </c>
      <c r="U30" s="16">
        <v>3</v>
      </c>
      <c r="V30" s="16">
        <v>2</v>
      </c>
      <c r="W30" s="16">
        <f t="shared" si="0"/>
        <v>51</v>
      </c>
      <c r="X30" s="16">
        <f t="shared" si="1"/>
        <v>71</v>
      </c>
      <c r="Y30" s="2" t="s">
        <v>218</v>
      </c>
    </row>
    <row r="31" spans="1:25" x14ac:dyDescent="0.35">
      <c r="A31" s="16">
        <v>30</v>
      </c>
      <c r="B31" s="17" t="s">
        <v>50</v>
      </c>
      <c r="C31" s="16">
        <v>3</v>
      </c>
      <c r="D31" s="16">
        <v>2</v>
      </c>
      <c r="E31" s="16">
        <v>3</v>
      </c>
      <c r="F31" s="16">
        <v>2</v>
      </c>
      <c r="G31" s="16">
        <v>2</v>
      </c>
      <c r="H31" s="16">
        <v>3</v>
      </c>
      <c r="I31" s="16">
        <v>2</v>
      </c>
      <c r="J31" s="16">
        <v>2</v>
      </c>
      <c r="K31" s="16">
        <v>3</v>
      </c>
      <c r="L31" s="16">
        <v>2</v>
      </c>
      <c r="M31" s="16">
        <v>2</v>
      </c>
      <c r="N31" s="16">
        <v>3</v>
      </c>
      <c r="O31" s="16">
        <v>2</v>
      </c>
      <c r="P31" s="16">
        <v>2</v>
      </c>
      <c r="Q31" s="16">
        <v>3</v>
      </c>
      <c r="R31" s="16">
        <v>3</v>
      </c>
      <c r="S31" s="16">
        <v>3</v>
      </c>
      <c r="T31" s="16">
        <v>3</v>
      </c>
      <c r="U31" s="16">
        <v>3</v>
      </c>
      <c r="V31" s="16">
        <v>2</v>
      </c>
      <c r="W31" s="16">
        <f t="shared" si="0"/>
        <v>50</v>
      </c>
      <c r="X31" s="16">
        <f t="shared" si="1"/>
        <v>70</v>
      </c>
      <c r="Y31" s="2" t="s">
        <v>218</v>
      </c>
    </row>
    <row r="32" spans="1:25" x14ac:dyDescent="0.35">
      <c r="A32" s="16">
        <v>31</v>
      </c>
      <c r="B32" s="17" t="s">
        <v>29</v>
      </c>
      <c r="C32" s="16">
        <v>3</v>
      </c>
      <c r="D32" s="16">
        <v>4</v>
      </c>
      <c r="E32" s="16">
        <v>3</v>
      </c>
      <c r="F32" s="16">
        <v>2</v>
      </c>
      <c r="G32" s="16">
        <v>2</v>
      </c>
      <c r="H32" s="16">
        <v>3</v>
      </c>
      <c r="I32" s="16">
        <v>2</v>
      </c>
      <c r="J32" s="16">
        <v>2</v>
      </c>
      <c r="K32" s="16">
        <v>3</v>
      </c>
      <c r="L32" s="16">
        <v>2</v>
      </c>
      <c r="M32" s="16">
        <v>2</v>
      </c>
      <c r="N32" s="16">
        <v>3</v>
      </c>
      <c r="O32" s="16">
        <v>2</v>
      </c>
      <c r="P32" s="16">
        <v>2</v>
      </c>
      <c r="Q32" s="16">
        <v>3</v>
      </c>
      <c r="R32" s="16">
        <v>3</v>
      </c>
      <c r="S32" s="16">
        <v>3</v>
      </c>
      <c r="T32" s="16">
        <v>3</v>
      </c>
      <c r="U32" s="16">
        <v>3</v>
      </c>
      <c r="V32" s="16">
        <v>2</v>
      </c>
      <c r="W32" s="16">
        <f t="shared" si="0"/>
        <v>52</v>
      </c>
      <c r="X32" s="16">
        <f t="shared" si="1"/>
        <v>72</v>
      </c>
      <c r="Y32" s="2" t="s">
        <v>218</v>
      </c>
    </row>
    <row r="33" spans="1:25" x14ac:dyDescent="0.35">
      <c r="A33" s="16">
        <v>32</v>
      </c>
      <c r="B33" s="17" t="s">
        <v>30</v>
      </c>
      <c r="C33" s="16">
        <v>3</v>
      </c>
      <c r="D33" s="16">
        <v>2</v>
      </c>
      <c r="E33" s="16">
        <v>3</v>
      </c>
      <c r="F33" s="16">
        <v>3</v>
      </c>
      <c r="G33" s="16">
        <v>2</v>
      </c>
      <c r="H33" s="16">
        <v>1</v>
      </c>
      <c r="I33" s="16">
        <v>4</v>
      </c>
      <c r="J33" s="16">
        <v>4</v>
      </c>
      <c r="K33" s="16">
        <v>3</v>
      </c>
      <c r="L33" s="16">
        <v>3</v>
      </c>
      <c r="M33" s="16">
        <v>4</v>
      </c>
      <c r="N33" s="16">
        <v>3</v>
      </c>
      <c r="O33" s="16">
        <v>4</v>
      </c>
      <c r="P33" s="16">
        <v>3</v>
      </c>
      <c r="Q33" s="16">
        <v>4</v>
      </c>
      <c r="R33" s="16">
        <v>2</v>
      </c>
      <c r="S33" s="16">
        <v>2</v>
      </c>
      <c r="T33" s="16">
        <v>2</v>
      </c>
      <c r="U33" s="16">
        <v>4</v>
      </c>
      <c r="V33" s="16">
        <v>4</v>
      </c>
      <c r="W33" s="16">
        <f t="shared" si="0"/>
        <v>60</v>
      </c>
      <c r="X33" s="16">
        <f t="shared" si="1"/>
        <v>80</v>
      </c>
      <c r="Y33" s="2" t="s">
        <v>217</v>
      </c>
    </row>
    <row r="34" spans="1:25" x14ac:dyDescent="0.35">
      <c r="A34" s="16">
        <v>33</v>
      </c>
      <c r="B34" s="17" t="s">
        <v>57</v>
      </c>
      <c r="C34" s="16">
        <v>3</v>
      </c>
      <c r="D34" s="16">
        <v>3</v>
      </c>
      <c r="E34" s="16">
        <v>3</v>
      </c>
      <c r="F34" s="16">
        <v>2</v>
      </c>
      <c r="G34" s="16">
        <v>3</v>
      </c>
      <c r="H34" s="16">
        <v>3</v>
      </c>
      <c r="I34" s="16">
        <v>3</v>
      </c>
      <c r="J34" s="16">
        <v>3</v>
      </c>
      <c r="K34" s="16">
        <v>3</v>
      </c>
      <c r="L34" s="16">
        <v>3</v>
      </c>
      <c r="M34" s="16">
        <v>3</v>
      </c>
      <c r="N34" s="16">
        <v>3</v>
      </c>
      <c r="O34" s="16">
        <v>3</v>
      </c>
      <c r="P34" s="16">
        <v>3</v>
      </c>
      <c r="Q34" s="16">
        <v>3</v>
      </c>
      <c r="R34" s="16">
        <v>3</v>
      </c>
      <c r="S34" s="16">
        <v>3</v>
      </c>
      <c r="T34" s="16">
        <v>3</v>
      </c>
      <c r="U34" s="16">
        <v>3</v>
      </c>
      <c r="V34" s="16">
        <v>2</v>
      </c>
      <c r="W34" s="16">
        <f t="shared" si="0"/>
        <v>58</v>
      </c>
      <c r="X34" s="16">
        <f t="shared" si="1"/>
        <v>78</v>
      </c>
      <c r="Y34" s="2" t="s">
        <v>217</v>
      </c>
    </row>
    <row r="35" spans="1:25" x14ac:dyDescent="0.35">
      <c r="A35" s="16">
        <v>34</v>
      </c>
      <c r="B35" s="17" t="s">
        <v>32</v>
      </c>
      <c r="C35" s="16">
        <v>3</v>
      </c>
      <c r="D35" s="16">
        <v>3</v>
      </c>
      <c r="E35" s="16">
        <v>1</v>
      </c>
      <c r="F35" s="16">
        <v>4</v>
      </c>
      <c r="G35" s="16">
        <v>4</v>
      </c>
      <c r="H35" s="16">
        <v>1</v>
      </c>
      <c r="I35" s="16">
        <v>3</v>
      </c>
      <c r="J35" s="16">
        <v>3</v>
      </c>
      <c r="K35" s="16">
        <v>1</v>
      </c>
      <c r="L35" s="16">
        <v>4</v>
      </c>
      <c r="M35" s="16">
        <v>4</v>
      </c>
      <c r="N35" s="16">
        <v>1</v>
      </c>
      <c r="O35" s="16">
        <v>3</v>
      </c>
      <c r="P35" s="16">
        <v>3</v>
      </c>
      <c r="Q35" s="16">
        <v>2</v>
      </c>
      <c r="R35" s="16">
        <v>1</v>
      </c>
      <c r="S35" s="16">
        <v>2</v>
      </c>
      <c r="T35" s="16">
        <v>2</v>
      </c>
      <c r="U35" s="16">
        <v>2</v>
      </c>
      <c r="V35" s="16">
        <v>4</v>
      </c>
      <c r="W35" s="16">
        <f t="shared" si="0"/>
        <v>51</v>
      </c>
      <c r="X35" s="16">
        <f t="shared" si="1"/>
        <v>71</v>
      </c>
      <c r="Y35" s="2" t="s">
        <v>218</v>
      </c>
    </row>
    <row r="36" spans="1:25" x14ac:dyDescent="0.35">
      <c r="A36" s="16">
        <v>35</v>
      </c>
      <c r="B36" s="17" t="s">
        <v>33</v>
      </c>
      <c r="C36" s="16">
        <v>3</v>
      </c>
      <c r="D36" s="16">
        <v>2</v>
      </c>
      <c r="E36" s="16">
        <v>3</v>
      </c>
      <c r="F36" s="16">
        <v>3</v>
      </c>
      <c r="G36" s="16">
        <v>2</v>
      </c>
      <c r="H36" s="16">
        <v>3</v>
      </c>
      <c r="I36" s="16">
        <v>3</v>
      </c>
      <c r="J36" s="16">
        <v>2</v>
      </c>
      <c r="K36" s="16">
        <v>3</v>
      </c>
      <c r="L36" s="16">
        <v>2</v>
      </c>
      <c r="M36" s="16">
        <v>2</v>
      </c>
      <c r="N36" s="16">
        <v>3</v>
      </c>
      <c r="O36" s="16">
        <v>3</v>
      </c>
      <c r="P36" s="16">
        <v>3</v>
      </c>
      <c r="Q36" s="16">
        <v>3</v>
      </c>
      <c r="R36" s="16">
        <v>3</v>
      </c>
      <c r="S36" s="16">
        <v>3</v>
      </c>
      <c r="T36" s="16">
        <v>3</v>
      </c>
      <c r="U36" s="16">
        <v>3</v>
      </c>
      <c r="V36" s="16">
        <v>3</v>
      </c>
      <c r="W36" s="16">
        <f t="shared" si="0"/>
        <v>55</v>
      </c>
      <c r="X36" s="16">
        <f t="shared" si="1"/>
        <v>75</v>
      </c>
      <c r="Y36" s="2" t="s">
        <v>218</v>
      </c>
    </row>
    <row r="37" spans="1:25" x14ac:dyDescent="0.35">
      <c r="A37" s="16">
        <v>36</v>
      </c>
      <c r="B37" s="17" t="s">
        <v>34</v>
      </c>
      <c r="C37" s="16">
        <v>3</v>
      </c>
      <c r="D37" s="16">
        <v>2</v>
      </c>
      <c r="E37" s="16">
        <v>3</v>
      </c>
      <c r="F37" s="16">
        <v>3</v>
      </c>
      <c r="G37" s="16">
        <v>2</v>
      </c>
      <c r="H37" s="16">
        <v>4</v>
      </c>
      <c r="I37" s="16">
        <v>3</v>
      </c>
      <c r="J37" s="16">
        <v>3</v>
      </c>
      <c r="K37" s="16">
        <v>3</v>
      </c>
      <c r="L37" s="16">
        <v>4</v>
      </c>
      <c r="M37" s="16">
        <v>4</v>
      </c>
      <c r="N37" s="16">
        <v>3</v>
      </c>
      <c r="O37" s="16">
        <v>1</v>
      </c>
      <c r="P37" s="16">
        <v>2</v>
      </c>
      <c r="Q37" s="16">
        <v>2</v>
      </c>
      <c r="R37" s="16">
        <v>3</v>
      </c>
      <c r="S37" s="16">
        <v>4</v>
      </c>
      <c r="T37" s="16">
        <v>4</v>
      </c>
      <c r="U37" s="16">
        <v>3</v>
      </c>
      <c r="V37" s="16">
        <v>3</v>
      </c>
      <c r="W37" s="16">
        <f t="shared" si="0"/>
        <v>59</v>
      </c>
      <c r="X37" s="16">
        <f t="shared" si="1"/>
        <v>79</v>
      </c>
      <c r="Y37" s="2" t="s">
        <v>217</v>
      </c>
    </row>
    <row r="38" spans="1:25" x14ac:dyDescent="0.35">
      <c r="A38" s="16">
        <v>37</v>
      </c>
      <c r="B38" s="17" t="s">
        <v>35</v>
      </c>
      <c r="C38" s="16">
        <v>3</v>
      </c>
      <c r="D38" s="16">
        <v>3</v>
      </c>
      <c r="E38" s="16">
        <v>4</v>
      </c>
      <c r="F38" s="16">
        <v>3</v>
      </c>
      <c r="G38" s="16">
        <v>4</v>
      </c>
      <c r="H38" s="16">
        <v>3</v>
      </c>
      <c r="I38" s="16">
        <v>4</v>
      </c>
      <c r="J38" s="16">
        <v>4</v>
      </c>
      <c r="K38" s="16">
        <v>3</v>
      </c>
      <c r="L38" s="16">
        <v>2</v>
      </c>
      <c r="M38" s="16">
        <v>4</v>
      </c>
      <c r="N38" s="16">
        <v>2</v>
      </c>
      <c r="O38" s="16">
        <v>4</v>
      </c>
      <c r="P38" s="16">
        <v>3</v>
      </c>
      <c r="Q38" s="16">
        <v>2</v>
      </c>
      <c r="R38" s="16">
        <v>3</v>
      </c>
      <c r="S38" s="16">
        <v>2</v>
      </c>
      <c r="T38" s="16">
        <v>1</v>
      </c>
      <c r="U38" s="16">
        <v>1</v>
      </c>
      <c r="V38" s="16">
        <v>2</v>
      </c>
      <c r="W38" s="16">
        <f t="shared" si="0"/>
        <v>57</v>
      </c>
      <c r="X38" s="16">
        <f t="shared" si="1"/>
        <v>77</v>
      </c>
      <c r="Y38" s="2" t="s">
        <v>217</v>
      </c>
    </row>
    <row r="39" spans="1:25" x14ac:dyDescent="0.35">
      <c r="A39" s="16">
        <v>38</v>
      </c>
      <c r="B39" s="17" t="s">
        <v>36</v>
      </c>
      <c r="C39" s="16">
        <v>1</v>
      </c>
      <c r="D39" s="16">
        <v>1</v>
      </c>
      <c r="E39" s="16">
        <v>3</v>
      </c>
      <c r="F39" s="16">
        <v>2</v>
      </c>
      <c r="G39" s="16">
        <v>3</v>
      </c>
      <c r="H39" s="16">
        <v>1</v>
      </c>
      <c r="I39" s="16">
        <v>2</v>
      </c>
      <c r="J39" s="16">
        <v>4</v>
      </c>
      <c r="K39" s="16">
        <v>4</v>
      </c>
      <c r="L39" s="16">
        <v>3</v>
      </c>
      <c r="M39" s="16">
        <v>4</v>
      </c>
      <c r="N39" s="16">
        <v>3</v>
      </c>
      <c r="O39" s="16">
        <v>3</v>
      </c>
      <c r="P39" s="16">
        <v>4</v>
      </c>
      <c r="Q39" s="16">
        <v>2</v>
      </c>
      <c r="R39" s="16">
        <v>4</v>
      </c>
      <c r="S39" s="16">
        <v>4</v>
      </c>
      <c r="T39" s="16">
        <v>4</v>
      </c>
      <c r="U39" s="16">
        <v>2</v>
      </c>
      <c r="V39" s="16">
        <v>3</v>
      </c>
      <c r="W39" s="16">
        <f t="shared" si="0"/>
        <v>57</v>
      </c>
      <c r="X39" s="16">
        <f t="shared" si="1"/>
        <v>77</v>
      </c>
      <c r="Y39" s="2" t="s">
        <v>217</v>
      </c>
    </row>
    <row r="40" spans="1:25" x14ac:dyDescent="0.35">
      <c r="A40" s="16">
        <v>39</v>
      </c>
      <c r="B40" s="17" t="s">
        <v>37</v>
      </c>
      <c r="C40" s="16">
        <v>3</v>
      </c>
      <c r="D40" s="16">
        <v>3</v>
      </c>
      <c r="E40" s="16">
        <v>3</v>
      </c>
      <c r="F40" s="16">
        <v>3</v>
      </c>
      <c r="G40" s="16">
        <v>4</v>
      </c>
      <c r="H40" s="16">
        <v>3</v>
      </c>
      <c r="I40" s="16">
        <v>3</v>
      </c>
      <c r="J40" s="16">
        <v>2</v>
      </c>
      <c r="K40" s="16">
        <v>3</v>
      </c>
      <c r="L40" s="16">
        <v>3</v>
      </c>
      <c r="M40" s="16">
        <v>3</v>
      </c>
      <c r="N40" s="16">
        <v>3</v>
      </c>
      <c r="O40" s="16">
        <v>3</v>
      </c>
      <c r="P40" s="16">
        <v>3</v>
      </c>
      <c r="Q40" s="16">
        <v>3</v>
      </c>
      <c r="R40" s="16">
        <v>2</v>
      </c>
      <c r="S40" s="16">
        <v>3</v>
      </c>
      <c r="T40" s="16">
        <v>1</v>
      </c>
      <c r="U40" s="16">
        <v>2</v>
      </c>
      <c r="V40" s="16">
        <v>3</v>
      </c>
      <c r="W40" s="16">
        <f t="shared" si="0"/>
        <v>56</v>
      </c>
      <c r="X40" s="16">
        <f t="shared" si="1"/>
        <v>76</v>
      </c>
      <c r="Y40" s="2" t="s">
        <v>217</v>
      </c>
    </row>
    <row r="41" spans="1:25" x14ac:dyDescent="0.35">
      <c r="A41" s="16">
        <v>40</v>
      </c>
      <c r="B41" s="17" t="s">
        <v>58</v>
      </c>
      <c r="C41" s="16">
        <v>3</v>
      </c>
      <c r="D41" s="16">
        <v>1</v>
      </c>
      <c r="E41" s="16">
        <v>3</v>
      </c>
      <c r="F41" s="16">
        <v>2</v>
      </c>
      <c r="G41" s="16">
        <v>1</v>
      </c>
      <c r="H41" s="16">
        <v>3</v>
      </c>
      <c r="I41" s="16">
        <v>1</v>
      </c>
      <c r="J41" s="16">
        <v>4</v>
      </c>
      <c r="K41" s="16">
        <v>2</v>
      </c>
      <c r="L41" s="16">
        <v>1</v>
      </c>
      <c r="M41" s="16">
        <v>4</v>
      </c>
      <c r="N41" s="16">
        <v>2</v>
      </c>
      <c r="O41" s="16">
        <v>1</v>
      </c>
      <c r="P41" s="16">
        <v>4</v>
      </c>
      <c r="Q41" s="16">
        <v>4</v>
      </c>
      <c r="R41" s="16">
        <v>4</v>
      </c>
      <c r="S41" s="16">
        <v>1</v>
      </c>
      <c r="T41" s="16">
        <v>4</v>
      </c>
      <c r="U41" s="16">
        <v>1</v>
      </c>
      <c r="V41" s="16">
        <v>1</v>
      </c>
      <c r="W41" s="16">
        <f t="shared" si="0"/>
        <v>47</v>
      </c>
      <c r="X41" s="16">
        <f t="shared" si="1"/>
        <v>67</v>
      </c>
      <c r="Y41" s="2" t="s">
        <v>218</v>
      </c>
    </row>
    <row r="42" spans="1:25" x14ac:dyDescent="0.35">
      <c r="A42" s="16">
        <v>41</v>
      </c>
      <c r="B42" s="17" t="s">
        <v>39</v>
      </c>
      <c r="C42" s="16">
        <v>4</v>
      </c>
      <c r="D42" s="16">
        <v>4</v>
      </c>
      <c r="E42" s="16">
        <v>4</v>
      </c>
      <c r="F42" s="16">
        <v>3</v>
      </c>
      <c r="G42" s="16">
        <v>2</v>
      </c>
      <c r="H42" s="16">
        <v>3</v>
      </c>
      <c r="I42" s="16">
        <v>4</v>
      </c>
      <c r="J42" s="16">
        <v>3</v>
      </c>
      <c r="K42" s="16">
        <v>3</v>
      </c>
      <c r="L42" s="16">
        <v>4</v>
      </c>
      <c r="M42" s="16">
        <v>4</v>
      </c>
      <c r="N42" s="16">
        <v>3</v>
      </c>
      <c r="O42" s="16">
        <v>4</v>
      </c>
      <c r="P42" s="16">
        <v>4</v>
      </c>
      <c r="Q42" s="16">
        <v>2</v>
      </c>
      <c r="R42" s="16">
        <v>3</v>
      </c>
      <c r="S42" s="16">
        <v>4</v>
      </c>
      <c r="T42" s="16">
        <v>3</v>
      </c>
      <c r="U42" s="16">
        <v>3</v>
      </c>
      <c r="V42" s="16">
        <v>4</v>
      </c>
      <c r="W42" s="16">
        <f t="shared" si="0"/>
        <v>68</v>
      </c>
      <c r="X42" s="16">
        <f t="shared" si="1"/>
        <v>88</v>
      </c>
      <c r="Y42" s="2" t="s">
        <v>217</v>
      </c>
    </row>
    <row r="43" spans="1:25" x14ac:dyDescent="0.35">
      <c r="A43" s="16">
        <v>42</v>
      </c>
      <c r="B43" s="17" t="s">
        <v>40</v>
      </c>
      <c r="C43" s="16">
        <v>3</v>
      </c>
      <c r="D43" s="16">
        <v>3</v>
      </c>
      <c r="E43" s="16">
        <v>3</v>
      </c>
      <c r="F43" s="16">
        <v>2</v>
      </c>
      <c r="G43" s="16">
        <v>3</v>
      </c>
      <c r="H43" s="16">
        <v>4</v>
      </c>
      <c r="I43" s="16">
        <v>4</v>
      </c>
      <c r="J43" s="16">
        <v>2</v>
      </c>
      <c r="K43" s="16">
        <v>3</v>
      </c>
      <c r="L43" s="16">
        <v>3</v>
      </c>
      <c r="M43" s="16">
        <v>4</v>
      </c>
      <c r="N43" s="16">
        <v>3</v>
      </c>
      <c r="O43" s="16">
        <v>2</v>
      </c>
      <c r="P43" s="16">
        <v>4</v>
      </c>
      <c r="Q43" s="16">
        <v>3</v>
      </c>
      <c r="R43" s="16">
        <v>4</v>
      </c>
      <c r="S43" s="16">
        <v>3</v>
      </c>
      <c r="T43" s="16">
        <v>3</v>
      </c>
      <c r="U43" s="16">
        <v>3</v>
      </c>
      <c r="V43" s="16">
        <v>1</v>
      </c>
      <c r="W43" s="16">
        <f t="shared" si="0"/>
        <v>60</v>
      </c>
      <c r="X43" s="16">
        <f t="shared" si="1"/>
        <v>80</v>
      </c>
      <c r="Y43" s="2" t="s">
        <v>217</v>
      </c>
    </row>
    <row r="44" spans="1:25" x14ac:dyDescent="0.35">
      <c r="A44" s="42"/>
      <c r="B44" s="17" t="s">
        <v>174</v>
      </c>
      <c r="C44" s="42">
        <f>SUM(C2:C43)</f>
        <v>126</v>
      </c>
      <c r="D44" s="42">
        <f t="shared" ref="D44:W44" si="2">SUM(D2:D43)</f>
        <v>118</v>
      </c>
      <c r="E44" s="42">
        <f t="shared" si="2"/>
        <v>125</v>
      </c>
      <c r="F44" s="42">
        <f t="shared" si="2"/>
        <v>110</v>
      </c>
      <c r="G44" s="42">
        <f t="shared" si="2"/>
        <v>113</v>
      </c>
      <c r="H44" s="42">
        <f t="shared" si="2"/>
        <v>126</v>
      </c>
      <c r="I44" s="42">
        <f t="shared" si="2"/>
        <v>118</v>
      </c>
      <c r="J44" s="42">
        <f t="shared" si="2"/>
        <v>107</v>
      </c>
      <c r="K44" s="42">
        <f t="shared" si="2"/>
        <v>115</v>
      </c>
      <c r="L44" s="42">
        <f t="shared" si="2"/>
        <v>116</v>
      </c>
      <c r="M44" s="42">
        <f t="shared" si="2"/>
        <v>122</v>
      </c>
      <c r="N44" s="42">
        <f t="shared" si="2"/>
        <v>115</v>
      </c>
      <c r="O44" s="42">
        <f t="shared" si="2"/>
        <v>110</v>
      </c>
      <c r="P44" s="42">
        <f t="shared" si="2"/>
        <v>127</v>
      </c>
      <c r="Q44" s="42">
        <f t="shared" si="2"/>
        <v>120</v>
      </c>
      <c r="R44" s="42">
        <f t="shared" si="2"/>
        <v>121</v>
      </c>
      <c r="S44" s="42">
        <f t="shared" si="2"/>
        <v>119</v>
      </c>
      <c r="T44" s="42">
        <f t="shared" si="2"/>
        <v>115</v>
      </c>
      <c r="U44" s="42">
        <f t="shared" si="2"/>
        <v>112</v>
      </c>
      <c r="V44" s="42">
        <f t="shared" si="2"/>
        <v>105</v>
      </c>
      <c r="W44" s="42">
        <f t="shared" si="2"/>
        <v>2340</v>
      </c>
      <c r="X44" s="42">
        <f>SUM(X2:X43)</f>
        <v>3180</v>
      </c>
      <c r="Y44" s="2"/>
    </row>
    <row r="45" spans="1:25" x14ac:dyDescent="0.35">
      <c r="A45" s="42"/>
      <c r="B45" s="17" t="s">
        <v>215</v>
      </c>
      <c r="C45" s="42">
        <f>4*42</f>
        <v>168</v>
      </c>
      <c r="D45" s="42">
        <f t="shared" ref="D45:V45" si="3">4*42</f>
        <v>168</v>
      </c>
      <c r="E45" s="42">
        <f t="shared" si="3"/>
        <v>168</v>
      </c>
      <c r="F45" s="42">
        <f t="shared" si="3"/>
        <v>168</v>
      </c>
      <c r="G45" s="42">
        <f t="shared" si="3"/>
        <v>168</v>
      </c>
      <c r="H45" s="42">
        <f t="shared" si="3"/>
        <v>168</v>
      </c>
      <c r="I45" s="42">
        <f t="shared" si="3"/>
        <v>168</v>
      </c>
      <c r="J45" s="42">
        <f t="shared" si="3"/>
        <v>168</v>
      </c>
      <c r="K45" s="42">
        <f t="shared" si="3"/>
        <v>168</v>
      </c>
      <c r="L45" s="42">
        <f t="shared" si="3"/>
        <v>168</v>
      </c>
      <c r="M45" s="42">
        <f t="shared" si="3"/>
        <v>168</v>
      </c>
      <c r="N45" s="42">
        <f t="shared" si="3"/>
        <v>168</v>
      </c>
      <c r="O45" s="42">
        <f t="shared" si="3"/>
        <v>168</v>
      </c>
      <c r="P45" s="42">
        <f t="shared" si="3"/>
        <v>168</v>
      </c>
      <c r="Q45" s="42">
        <f t="shared" si="3"/>
        <v>168</v>
      </c>
      <c r="R45" s="42">
        <f t="shared" si="3"/>
        <v>168</v>
      </c>
      <c r="S45" s="42">
        <f t="shared" si="3"/>
        <v>168</v>
      </c>
      <c r="T45" s="42">
        <f t="shared" si="3"/>
        <v>168</v>
      </c>
      <c r="U45" s="42">
        <f t="shared" si="3"/>
        <v>168</v>
      </c>
      <c r="V45" s="42">
        <f t="shared" si="3"/>
        <v>168</v>
      </c>
      <c r="W45" s="42"/>
      <c r="X45" s="42"/>
      <c r="Y45" s="2"/>
    </row>
    <row r="46" spans="1:25" x14ac:dyDescent="0.35">
      <c r="A46" s="42"/>
      <c r="B46" s="17" t="s">
        <v>213</v>
      </c>
      <c r="C46" s="42">
        <f>C44/C45*100</f>
        <v>75</v>
      </c>
      <c r="D46" s="43">
        <f t="shared" ref="D46:V46" si="4">D44/D45*100</f>
        <v>70.238095238095227</v>
      </c>
      <c r="E46" s="43">
        <f t="shared" si="4"/>
        <v>74.404761904761912</v>
      </c>
      <c r="F46" s="43">
        <f t="shared" si="4"/>
        <v>65.476190476190482</v>
      </c>
      <c r="G46" s="43">
        <f t="shared" si="4"/>
        <v>67.261904761904773</v>
      </c>
      <c r="H46" s="42">
        <f t="shared" si="4"/>
        <v>75</v>
      </c>
      <c r="I46" s="43">
        <f t="shared" si="4"/>
        <v>70.238095238095227</v>
      </c>
      <c r="J46" s="43">
        <f t="shared" si="4"/>
        <v>63.69047619047619</v>
      </c>
      <c r="K46" s="43">
        <f t="shared" si="4"/>
        <v>68.452380952380949</v>
      </c>
      <c r="L46" s="43">
        <f t="shared" si="4"/>
        <v>69.047619047619051</v>
      </c>
      <c r="M46" s="43">
        <f t="shared" si="4"/>
        <v>72.61904761904762</v>
      </c>
      <c r="N46" s="43">
        <f t="shared" si="4"/>
        <v>68.452380952380949</v>
      </c>
      <c r="O46" s="43">
        <f t="shared" si="4"/>
        <v>65.476190476190482</v>
      </c>
      <c r="P46" s="43">
        <f t="shared" si="4"/>
        <v>75.595238095238088</v>
      </c>
      <c r="Q46" s="43">
        <f t="shared" si="4"/>
        <v>71.428571428571431</v>
      </c>
      <c r="R46" s="43">
        <f t="shared" si="4"/>
        <v>72.023809523809518</v>
      </c>
      <c r="S46" s="43">
        <f t="shared" si="4"/>
        <v>70.833333333333343</v>
      </c>
      <c r="T46" s="43">
        <f t="shared" si="4"/>
        <v>68.452380952380949</v>
      </c>
      <c r="U46" s="43">
        <f t="shared" si="4"/>
        <v>66.666666666666657</v>
      </c>
      <c r="V46" s="42">
        <f t="shared" si="4"/>
        <v>62.5</v>
      </c>
      <c r="W46" s="42"/>
      <c r="X46" s="42"/>
      <c r="Y46" s="2"/>
    </row>
    <row r="47" spans="1:25" x14ac:dyDescent="0.35">
      <c r="A47" s="42"/>
      <c r="B47" s="17" t="s">
        <v>214</v>
      </c>
      <c r="C47" s="42">
        <f>AVERAGE(C2:C43)</f>
        <v>3</v>
      </c>
      <c r="D47" s="43">
        <f t="shared" ref="D47:V47" si="5">AVERAGE(D2:D43)</f>
        <v>2.8095238095238093</v>
      </c>
      <c r="E47" s="43">
        <f t="shared" si="5"/>
        <v>2.9761904761904763</v>
      </c>
      <c r="F47" s="43">
        <f t="shared" si="5"/>
        <v>2.6190476190476191</v>
      </c>
      <c r="G47" s="43">
        <f t="shared" si="5"/>
        <v>2.6904761904761907</v>
      </c>
      <c r="H47" s="43">
        <f t="shared" si="5"/>
        <v>3</v>
      </c>
      <c r="I47" s="43">
        <f t="shared" si="5"/>
        <v>2.8095238095238093</v>
      </c>
      <c r="J47" s="43">
        <f t="shared" si="5"/>
        <v>2.5476190476190474</v>
      </c>
      <c r="K47" s="43">
        <f t="shared" si="5"/>
        <v>2.7380952380952381</v>
      </c>
      <c r="L47" s="43">
        <f t="shared" si="5"/>
        <v>2.7619047619047619</v>
      </c>
      <c r="M47" s="43">
        <f t="shared" si="5"/>
        <v>2.9047619047619047</v>
      </c>
      <c r="N47" s="43">
        <f t="shared" si="5"/>
        <v>2.7380952380952381</v>
      </c>
      <c r="O47" s="43">
        <f t="shared" si="5"/>
        <v>2.6190476190476191</v>
      </c>
      <c r="P47" s="43">
        <f t="shared" si="5"/>
        <v>3.0238095238095237</v>
      </c>
      <c r="Q47" s="43">
        <f t="shared" si="5"/>
        <v>2.8571428571428572</v>
      </c>
      <c r="R47" s="43">
        <f t="shared" si="5"/>
        <v>2.8809523809523809</v>
      </c>
      <c r="S47" s="43">
        <f t="shared" si="5"/>
        <v>2.8333333333333335</v>
      </c>
      <c r="T47" s="43">
        <f t="shared" si="5"/>
        <v>2.7380952380952381</v>
      </c>
      <c r="U47" s="43">
        <f t="shared" si="5"/>
        <v>2.6666666666666665</v>
      </c>
      <c r="V47" s="43">
        <f t="shared" si="5"/>
        <v>2.5</v>
      </c>
      <c r="W47" s="42"/>
      <c r="X47" s="42"/>
      <c r="Y4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B6EF4-D789-41F1-847B-4A668360DE42}">
  <dimension ref="A1:Y47"/>
  <sheetViews>
    <sheetView zoomScale="62" zoomScaleNormal="62" workbookViewId="0">
      <selection sqref="A1:XFD1048576"/>
    </sheetView>
  </sheetViews>
  <sheetFormatPr defaultRowHeight="14.5" x14ac:dyDescent="0.35"/>
  <cols>
    <col min="2" max="2" width="28.54296875" customWidth="1"/>
    <col min="3" max="3" width="12.81640625" customWidth="1"/>
    <col min="25" max="25" width="13.1796875" customWidth="1"/>
  </cols>
  <sheetData>
    <row r="1" spans="1:25" x14ac:dyDescent="0.35">
      <c r="A1" s="8" t="s">
        <v>48</v>
      </c>
      <c r="B1" s="8" t="s">
        <v>51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177</v>
      </c>
      <c r="I1" s="8" t="s">
        <v>178</v>
      </c>
      <c r="J1" s="8" t="s">
        <v>181</v>
      </c>
      <c r="K1" s="8" t="s">
        <v>182</v>
      </c>
      <c r="L1" s="8" t="s">
        <v>183</v>
      </c>
      <c r="M1" s="8" t="s">
        <v>184</v>
      </c>
      <c r="N1" s="8" t="s">
        <v>185</v>
      </c>
      <c r="O1" s="8" t="s">
        <v>186</v>
      </c>
      <c r="P1" s="8" t="s">
        <v>187</v>
      </c>
      <c r="Q1" s="8" t="s">
        <v>188</v>
      </c>
      <c r="R1" s="8" t="s">
        <v>189</v>
      </c>
      <c r="S1" s="8" t="s">
        <v>190</v>
      </c>
      <c r="T1" s="8" t="s">
        <v>191</v>
      </c>
      <c r="U1" s="8" t="s">
        <v>192</v>
      </c>
      <c r="V1" s="8" t="s">
        <v>193</v>
      </c>
      <c r="W1" s="8" t="s">
        <v>180</v>
      </c>
      <c r="X1" s="8" t="s">
        <v>179</v>
      </c>
      <c r="Y1" s="8" t="s">
        <v>216</v>
      </c>
    </row>
    <row r="2" spans="1:25" x14ac:dyDescent="0.35">
      <c r="A2" s="16">
        <v>1</v>
      </c>
      <c r="B2" s="17" t="s">
        <v>52</v>
      </c>
      <c r="C2" s="16">
        <v>3</v>
      </c>
      <c r="D2" s="16">
        <v>3</v>
      </c>
      <c r="E2" s="16">
        <v>2</v>
      </c>
      <c r="F2" s="16">
        <v>3</v>
      </c>
      <c r="G2" s="16">
        <v>2</v>
      </c>
      <c r="H2" s="16">
        <v>4</v>
      </c>
      <c r="I2" s="16">
        <v>3</v>
      </c>
      <c r="J2" s="16">
        <v>2</v>
      </c>
      <c r="K2" s="16">
        <v>4</v>
      </c>
      <c r="L2" s="16">
        <v>3</v>
      </c>
      <c r="M2" s="16">
        <v>3</v>
      </c>
      <c r="N2" s="16">
        <v>3</v>
      </c>
      <c r="O2" s="16">
        <v>3</v>
      </c>
      <c r="P2" s="16">
        <v>3</v>
      </c>
      <c r="Q2" s="16">
        <v>2</v>
      </c>
      <c r="R2" s="16">
        <v>2</v>
      </c>
      <c r="S2" s="16">
        <v>3</v>
      </c>
      <c r="T2" s="16">
        <v>3</v>
      </c>
      <c r="U2" s="16">
        <v>4</v>
      </c>
      <c r="V2" s="16">
        <v>2</v>
      </c>
      <c r="W2" s="16">
        <f>SUM(C2:V2)</f>
        <v>57</v>
      </c>
      <c r="X2" s="16">
        <f>W2/80*100</f>
        <v>71.25</v>
      </c>
      <c r="Y2" s="4" t="s">
        <v>218</v>
      </c>
    </row>
    <row r="3" spans="1:25" x14ac:dyDescent="0.35">
      <c r="A3" s="16">
        <v>2</v>
      </c>
      <c r="B3" s="17" t="s">
        <v>1</v>
      </c>
      <c r="C3" s="16">
        <v>1</v>
      </c>
      <c r="D3" s="16">
        <v>4</v>
      </c>
      <c r="E3" s="16">
        <v>3</v>
      </c>
      <c r="F3" s="16">
        <v>4</v>
      </c>
      <c r="G3" s="16">
        <v>4</v>
      </c>
      <c r="H3" s="16">
        <v>1</v>
      </c>
      <c r="I3" s="16">
        <v>4</v>
      </c>
      <c r="J3" s="16">
        <v>4</v>
      </c>
      <c r="K3" s="16">
        <v>1</v>
      </c>
      <c r="L3" s="16">
        <v>4</v>
      </c>
      <c r="M3" s="16">
        <v>4</v>
      </c>
      <c r="N3" s="16">
        <v>1</v>
      </c>
      <c r="O3" s="16">
        <v>4</v>
      </c>
      <c r="P3" s="16">
        <v>4</v>
      </c>
      <c r="Q3" s="16">
        <v>1</v>
      </c>
      <c r="R3" s="16">
        <v>3</v>
      </c>
      <c r="S3" s="16">
        <v>3</v>
      </c>
      <c r="T3" s="16">
        <v>3</v>
      </c>
      <c r="U3" s="16">
        <v>3</v>
      </c>
      <c r="V3" s="16">
        <v>2</v>
      </c>
      <c r="W3" s="16">
        <f t="shared" ref="W3:W43" si="0">SUM(C3:V3)</f>
        <v>58</v>
      </c>
      <c r="X3" s="16">
        <f t="shared" ref="X3:X43" si="1">W3/80*100</f>
        <v>72.5</v>
      </c>
      <c r="Y3" s="4" t="s">
        <v>218</v>
      </c>
    </row>
    <row r="4" spans="1:25" x14ac:dyDescent="0.35">
      <c r="A4" s="16">
        <v>3</v>
      </c>
      <c r="B4" s="17" t="s">
        <v>53</v>
      </c>
      <c r="C4" s="16">
        <v>3</v>
      </c>
      <c r="D4" s="16">
        <v>3</v>
      </c>
      <c r="E4" s="16">
        <v>4</v>
      </c>
      <c r="F4" s="16">
        <v>3</v>
      </c>
      <c r="G4" s="16">
        <v>3</v>
      </c>
      <c r="H4" s="16">
        <v>4</v>
      </c>
      <c r="I4" s="16">
        <v>4</v>
      </c>
      <c r="J4" s="16">
        <v>3</v>
      </c>
      <c r="K4" s="16">
        <v>2</v>
      </c>
      <c r="L4" s="16">
        <v>1</v>
      </c>
      <c r="M4" s="16">
        <v>1</v>
      </c>
      <c r="N4" s="16">
        <v>1</v>
      </c>
      <c r="O4" s="16">
        <v>2</v>
      </c>
      <c r="P4" s="16">
        <v>4</v>
      </c>
      <c r="Q4" s="16">
        <v>3</v>
      </c>
      <c r="R4" s="16">
        <v>2</v>
      </c>
      <c r="S4" s="16">
        <v>1</v>
      </c>
      <c r="T4" s="16">
        <v>3</v>
      </c>
      <c r="U4" s="16">
        <v>2</v>
      </c>
      <c r="V4" s="16">
        <v>1</v>
      </c>
      <c r="W4" s="16">
        <f t="shared" si="0"/>
        <v>50</v>
      </c>
      <c r="X4" s="16">
        <f t="shared" si="1"/>
        <v>62.5</v>
      </c>
      <c r="Y4" s="4" t="s">
        <v>218</v>
      </c>
    </row>
    <row r="5" spans="1:25" x14ac:dyDescent="0.35">
      <c r="A5" s="16">
        <v>4</v>
      </c>
      <c r="B5" s="17" t="s">
        <v>2</v>
      </c>
      <c r="C5" s="16">
        <v>3</v>
      </c>
      <c r="D5" s="16">
        <v>3</v>
      </c>
      <c r="E5" s="16">
        <v>3</v>
      </c>
      <c r="F5" s="16">
        <v>2</v>
      </c>
      <c r="G5" s="16">
        <v>3</v>
      </c>
      <c r="H5" s="16">
        <v>3</v>
      </c>
      <c r="I5" s="16">
        <v>3</v>
      </c>
      <c r="J5" s="16">
        <v>2</v>
      </c>
      <c r="K5" s="16">
        <v>2</v>
      </c>
      <c r="L5" s="16">
        <v>3</v>
      </c>
      <c r="M5" s="16">
        <v>3</v>
      </c>
      <c r="N5" s="16">
        <v>3</v>
      </c>
      <c r="O5" s="16">
        <v>2</v>
      </c>
      <c r="P5" s="16">
        <v>3</v>
      </c>
      <c r="Q5" s="16">
        <v>3</v>
      </c>
      <c r="R5" s="16">
        <v>3</v>
      </c>
      <c r="S5" s="16">
        <v>3</v>
      </c>
      <c r="T5" s="16">
        <v>3</v>
      </c>
      <c r="U5" s="16">
        <v>2</v>
      </c>
      <c r="V5" s="16">
        <v>2</v>
      </c>
      <c r="W5" s="16">
        <f t="shared" si="0"/>
        <v>54</v>
      </c>
      <c r="X5" s="16">
        <f t="shared" si="1"/>
        <v>67.5</v>
      </c>
      <c r="Y5" s="4" t="s">
        <v>218</v>
      </c>
    </row>
    <row r="6" spans="1:25" x14ac:dyDescent="0.35">
      <c r="A6" s="16">
        <v>5</v>
      </c>
      <c r="B6" s="17" t="s">
        <v>3</v>
      </c>
      <c r="C6" s="16">
        <v>3</v>
      </c>
      <c r="D6" s="16">
        <v>4</v>
      </c>
      <c r="E6" s="16">
        <v>3</v>
      </c>
      <c r="F6" s="16">
        <v>2</v>
      </c>
      <c r="G6" s="16">
        <v>3</v>
      </c>
      <c r="H6" s="16">
        <v>3</v>
      </c>
      <c r="I6" s="16">
        <v>3</v>
      </c>
      <c r="J6" s="16">
        <v>3</v>
      </c>
      <c r="K6" s="16">
        <v>3</v>
      </c>
      <c r="L6" s="16">
        <v>3</v>
      </c>
      <c r="M6" s="16">
        <v>3</v>
      </c>
      <c r="N6" s="16">
        <v>2</v>
      </c>
      <c r="O6" s="16">
        <v>3</v>
      </c>
      <c r="P6" s="16">
        <v>3</v>
      </c>
      <c r="Q6" s="16">
        <v>3</v>
      </c>
      <c r="R6" s="16">
        <v>3</v>
      </c>
      <c r="S6" s="16">
        <v>3</v>
      </c>
      <c r="T6" s="16">
        <v>3</v>
      </c>
      <c r="U6" s="16">
        <v>3</v>
      </c>
      <c r="V6" s="16">
        <v>3</v>
      </c>
      <c r="W6" s="16">
        <f t="shared" si="0"/>
        <v>59</v>
      </c>
      <c r="X6" s="16">
        <f t="shared" si="1"/>
        <v>73.75</v>
      </c>
      <c r="Y6" s="4" t="s">
        <v>218</v>
      </c>
    </row>
    <row r="7" spans="1:25" x14ac:dyDescent="0.35">
      <c r="A7" s="16">
        <v>6</v>
      </c>
      <c r="B7" s="17" t="s">
        <v>4</v>
      </c>
      <c r="C7" s="16">
        <v>3</v>
      </c>
      <c r="D7" s="16">
        <v>3</v>
      </c>
      <c r="E7" s="16">
        <v>1</v>
      </c>
      <c r="F7" s="16">
        <v>3</v>
      </c>
      <c r="G7" s="16">
        <v>3</v>
      </c>
      <c r="H7" s="16">
        <v>3</v>
      </c>
      <c r="I7" s="16">
        <v>1</v>
      </c>
      <c r="J7" s="16">
        <v>4</v>
      </c>
      <c r="K7" s="16">
        <v>3</v>
      </c>
      <c r="L7" s="16">
        <v>4</v>
      </c>
      <c r="M7" s="16">
        <v>4</v>
      </c>
      <c r="N7" s="16">
        <v>3</v>
      </c>
      <c r="O7" s="16">
        <v>4</v>
      </c>
      <c r="P7" s="16">
        <v>3</v>
      </c>
      <c r="Q7" s="16">
        <v>4</v>
      </c>
      <c r="R7" s="16">
        <v>3</v>
      </c>
      <c r="S7" s="16">
        <v>2</v>
      </c>
      <c r="T7" s="16">
        <v>1</v>
      </c>
      <c r="U7" s="16">
        <v>3</v>
      </c>
      <c r="V7" s="16">
        <v>4</v>
      </c>
      <c r="W7" s="16">
        <f t="shared" si="0"/>
        <v>59</v>
      </c>
      <c r="X7" s="16">
        <f t="shared" si="1"/>
        <v>73.75</v>
      </c>
      <c r="Y7" s="4" t="s">
        <v>218</v>
      </c>
    </row>
    <row r="8" spans="1:25" x14ac:dyDescent="0.35">
      <c r="A8" s="16">
        <v>7</v>
      </c>
      <c r="B8" s="17" t="s">
        <v>5</v>
      </c>
      <c r="C8" s="16">
        <v>4</v>
      </c>
      <c r="D8" s="16">
        <v>4</v>
      </c>
      <c r="E8" s="16">
        <v>3</v>
      </c>
      <c r="F8" s="16">
        <v>3</v>
      </c>
      <c r="G8" s="16">
        <v>3</v>
      </c>
      <c r="H8" s="16">
        <v>4</v>
      </c>
      <c r="I8" s="16">
        <v>4</v>
      </c>
      <c r="J8" s="16">
        <v>3</v>
      </c>
      <c r="K8" s="16">
        <v>3</v>
      </c>
      <c r="L8" s="16">
        <v>2</v>
      </c>
      <c r="M8" s="16">
        <v>4</v>
      </c>
      <c r="N8" s="16">
        <v>1</v>
      </c>
      <c r="O8" s="16">
        <v>3</v>
      </c>
      <c r="P8" s="16">
        <v>4</v>
      </c>
      <c r="Q8" s="16">
        <v>2</v>
      </c>
      <c r="R8" s="16">
        <v>3</v>
      </c>
      <c r="S8" s="16">
        <v>3</v>
      </c>
      <c r="T8" s="16">
        <v>2</v>
      </c>
      <c r="U8" s="16">
        <v>3</v>
      </c>
      <c r="V8" s="16">
        <v>2</v>
      </c>
      <c r="W8" s="16">
        <f t="shared" si="0"/>
        <v>60</v>
      </c>
      <c r="X8" s="16">
        <f t="shared" si="1"/>
        <v>75</v>
      </c>
      <c r="Y8" s="4" t="s">
        <v>218</v>
      </c>
    </row>
    <row r="9" spans="1:25" x14ac:dyDescent="0.35">
      <c r="A9" s="16">
        <v>8</v>
      </c>
      <c r="B9" s="17" t="s">
        <v>6</v>
      </c>
      <c r="C9" s="16">
        <v>3</v>
      </c>
      <c r="D9" s="16">
        <v>4</v>
      </c>
      <c r="E9" s="16">
        <v>4</v>
      </c>
      <c r="F9" s="16">
        <v>4</v>
      </c>
      <c r="G9" s="16">
        <v>4</v>
      </c>
      <c r="H9" s="16">
        <v>4</v>
      </c>
      <c r="I9" s="16">
        <v>3</v>
      </c>
      <c r="J9" s="16">
        <v>1</v>
      </c>
      <c r="K9" s="16">
        <v>3</v>
      </c>
      <c r="L9" s="16">
        <v>3</v>
      </c>
      <c r="M9" s="16">
        <v>4</v>
      </c>
      <c r="N9" s="16">
        <v>4</v>
      </c>
      <c r="O9" s="16">
        <v>3</v>
      </c>
      <c r="P9" s="16">
        <v>3</v>
      </c>
      <c r="Q9" s="16">
        <v>2</v>
      </c>
      <c r="R9" s="16">
        <v>4</v>
      </c>
      <c r="S9" s="16">
        <v>3</v>
      </c>
      <c r="T9" s="16">
        <v>3</v>
      </c>
      <c r="U9" s="16">
        <v>3</v>
      </c>
      <c r="V9" s="16">
        <v>4</v>
      </c>
      <c r="W9" s="16">
        <f t="shared" si="0"/>
        <v>66</v>
      </c>
      <c r="X9" s="16">
        <f t="shared" si="1"/>
        <v>82.5</v>
      </c>
      <c r="Y9" s="4" t="s">
        <v>217</v>
      </c>
    </row>
    <row r="10" spans="1:25" x14ac:dyDescent="0.35">
      <c r="A10" s="16">
        <v>9</v>
      </c>
      <c r="B10" s="17" t="s">
        <v>7</v>
      </c>
      <c r="C10" s="16">
        <v>3</v>
      </c>
      <c r="D10" s="16">
        <v>3</v>
      </c>
      <c r="E10" s="16">
        <v>3</v>
      </c>
      <c r="F10" s="16">
        <v>1</v>
      </c>
      <c r="G10" s="16">
        <v>3</v>
      </c>
      <c r="H10" s="16">
        <v>4</v>
      </c>
      <c r="I10" s="16">
        <v>3</v>
      </c>
      <c r="J10" s="16">
        <v>2</v>
      </c>
      <c r="K10" s="16">
        <v>3</v>
      </c>
      <c r="L10" s="16">
        <v>3</v>
      </c>
      <c r="M10" s="16">
        <v>4</v>
      </c>
      <c r="N10" s="16">
        <v>3</v>
      </c>
      <c r="O10" s="16">
        <v>2</v>
      </c>
      <c r="P10" s="16">
        <v>2</v>
      </c>
      <c r="Q10" s="16">
        <v>3</v>
      </c>
      <c r="R10" s="16">
        <v>2</v>
      </c>
      <c r="S10" s="16">
        <v>4</v>
      </c>
      <c r="T10" s="16">
        <v>3</v>
      </c>
      <c r="U10" s="16">
        <v>2</v>
      </c>
      <c r="V10" s="16">
        <v>4</v>
      </c>
      <c r="W10" s="16">
        <f t="shared" si="0"/>
        <v>57</v>
      </c>
      <c r="X10" s="16">
        <f t="shared" si="1"/>
        <v>71.25</v>
      </c>
      <c r="Y10" s="4" t="s">
        <v>218</v>
      </c>
    </row>
    <row r="11" spans="1:25" x14ac:dyDescent="0.35">
      <c r="A11" s="16">
        <v>10</v>
      </c>
      <c r="B11" s="17" t="s">
        <v>54</v>
      </c>
      <c r="C11" s="16">
        <v>3</v>
      </c>
      <c r="D11" s="16">
        <v>3</v>
      </c>
      <c r="E11" s="16">
        <v>3</v>
      </c>
      <c r="F11" s="16">
        <v>1</v>
      </c>
      <c r="G11" s="16">
        <v>3</v>
      </c>
      <c r="H11" s="16">
        <v>4</v>
      </c>
      <c r="I11" s="16">
        <v>3</v>
      </c>
      <c r="J11" s="16">
        <v>2</v>
      </c>
      <c r="K11" s="16">
        <v>3</v>
      </c>
      <c r="L11" s="16">
        <v>3</v>
      </c>
      <c r="M11" s="16">
        <v>4</v>
      </c>
      <c r="N11" s="16">
        <v>3</v>
      </c>
      <c r="O11" s="16">
        <v>2</v>
      </c>
      <c r="P11" s="16">
        <v>3</v>
      </c>
      <c r="Q11" s="16">
        <v>3</v>
      </c>
      <c r="R11" s="16">
        <v>2</v>
      </c>
      <c r="S11" s="16">
        <v>4</v>
      </c>
      <c r="T11" s="16">
        <v>3</v>
      </c>
      <c r="U11" s="16">
        <v>2</v>
      </c>
      <c r="V11" s="16">
        <v>1</v>
      </c>
      <c r="W11" s="16">
        <f t="shared" si="0"/>
        <v>55</v>
      </c>
      <c r="X11" s="16">
        <f t="shared" si="1"/>
        <v>68.75</v>
      </c>
      <c r="Y11" s="4" t="s">
        <v>218</v>
      </c>
    </row>
    <row r="12" spans="1:25" x14ac:dyDescent="0.35">
      <c r="A12" s="16">
        <v>11</v>
      </c>
      <c r="B12" s="17" t="s">
        <v>9</v>
      </c>
      <c r="C12" s="16">
        <v>3</v>
      </c>
      <c r="D12" s="16">
        <v>1</v>
      </c>
      <c r="E12" s="16">
        <v>3</v>
      </c>
      <c r="F12" s="16">
        <v>1</v>
      </c>
      <c r="G12" s="16">
        <v>3</v>
      </c>
      <c r="H12" s="16">
        <v>2</v>
      </c>
      <c r="I12" s="16">
        <v>3</v>
      </c>
      <c r="J12" s="16">
        <v>1</v>
      </c>
      <c r="K12" s="16">
        <v>1</v>
      </c>
      <c r="L12" s="16">
        <v>3</v>
      </c>
      <c r="M12" s="16">
        <v>3</v>
      </c>
      <c r="N12" s="16">
        <v>4</v>
      </c>
      <c r="O12" s="16">
        <v>4</v>
      </c>
      <c r="P12" s="16">
        <v>3</v>
      </c>
      <c r="Q12" s="16">
        <v>3</v>
      </c>
      <c r="R12" s="16">
        <v>1</v>
      </c>
      <c r="S12" s="16">
        <v>4</v>
      </c>
      <c r="T12" s="16">
        <v>4</v>
      </c>
      <c r="U12" s="16">
        <v>3</v>
      </c>
      <c r="V12" s="16">
        <v>1</v>
      </c>
      <c r="W12" s="16">
        <f t="shared" si="0"/>
        <v>51</v>
      </c>
      <c r="X12" s="16">
        <f t="shared" si="1"/>
        <v>63.749999999999993</v>
      </c>
      <c r="Y12" s="4" t="s">
        <v>218</v>
      </c>
    </row>
    <row r="13" spans="1:25" x14ac:dyDescent="0.35">
      <c r="A13" s="16">
        <v>12</v>
      </c>
      <c r="B13" s="17" t="s">
        <v>10</v>
      </c>
      <c r="C13" s="16">
        <v>3</v>
      </c>
      <c r="D13" s="16">
        <v>1</v>
      </c>
      <c r="E13" s="16">
        <v>3</v>
      </c>
      <c r="F13" s="16">
        <v>2</v>
      </c>
      <c r="G13" s="16">
        <v>1</v>
      </c>
      <c r="H13" s="16">
        <v>3</v>
      </c>
      <c r="I13" s="16">
        <v>1</v>
      </c>
      <c r="J13" s="16">
        <v>2</v>
      </c>
      <c r="K13" s="16">
        <v>4</v>
      </c>
      <c r="L13" s="16">
        <v>2</v>
      </c>
      <c r="M13" s="16">
        <v>1</v>
      </c>
      <c r="N13" s="16">
        <v>3</v>
      </c>
      <c r="O13" s="16">
        <v>1</v>
      </c>
      <c r="P13" s="16">
        <v>2</v>
      </c>
      <c r="Q13" s="16">
        <v>4</v>
      </c>
      <c r="R13" s="16">
        <v>3</v>
      </c>
      <c r="S13" s="16">
        <v>4</v>
      </c>
      <c r="T13" s="16">
        <v>3</v>
      </c>
      <c r="U13" s="16">
        <v>4</v>
      </c>
      <c r="V13" s="16">
        <v>1</v>
      </c>
      <c r="W13" s="16">
        <f t="shared" si="0"/>
        <v>48</v>
      </c>
      <c r="X13" s="16">
        <f t="shared" si="1"/>
        <v>60</v>
      </c>
      <c r="Y13" s="4" t="s">
        <v>218</v>
      </c>
    </row>
    <row r="14" spans="1:25" x14ac:dyDescent="0.35">
      <c r="A14" s="16">
        <v>13</v>
      </c>
      <c r="B14" s="17" t="s">
        <v>11</v>
      </c>
      <c r="C14" s="16">
        <v>3</v>
      </c>
      <c r="D14" s="16">
        <v>1</v>
      </c>
      <c r="E14" s="16">
        <v>2</v>
      </c>
      <c r="F14" s="16">
        <v>3</v>
      </c>
      <c r="G14" s="16">
        <v>1</v>
      </c>
      <c r="H14" s="16">
        <v>3</v>
      </c>
      <c r="I14" s="16">
        <v>4</v>
      </c>
      <c r="J14" s="16">
        <v>2</v>
      </c>
      <c r="K14" s="16">
        <v>3</v>
      </c>
      <c r="L14" s="16">
        <v>4</v>
      </c>
      <c r="M14" s="16">
        <v>3</v>
      </c>
      <c r="N14" s="16">
        <v>3</v>
      </c>
      <c r="O14" s="16">
        <v>4</v>
      </c>
      <c r="P14" s="16">
        <v>4</v>
      </c>
      <c r="Q14" s="16">
        <v>4</v>
      </c>
      <c r="R14" s="16">
        <v>4</v>
      </c>
      <c r="S14" s="16">
        <v>3</v>
      </c>
      <c r="T14" s="16">
        <v>3</v>
      </c>
      <c r="U14" s="16">
        <v>4</v>
      </c>
      <c r="V14" s="16">
        <v>3</v>
      </c>
      <c r="W14" s="16">
        <f t="shared" si="0"/>
        <v>61</v>
      </c>
      <c r="X14" s="16">
        <f t="shared" si="1"/>
        <v>76.25</v>
      </c>
      <c r="Y14" s="4" t="s">
        <v>217</v>
      </c>
    </row>
    <row r="15" spans="1:25" x14ac:dyDescent="0.35">
      <c r="A15" s="16">
        <v>14</v>
      </c>
      <c r="B15" s="17" t="s">
        <v>12</v>
      </c>
      <c r="C15" s="16">
        <v>4</v>
      </c>
      <c r="D15" s="16">
        <v>2</v>
      </c>
      <c r="E15" s="16">
        <v>1</v>
      </c>
      <c r="F15" s="16">
        <v>3</v>
      </c>
      <c r="G15" s="16">
        <v>1</v>
      </c>
      <c r="H15" s="16">
        <v>3</v>
      </c>
      <c r="I15" s="16">
        <v>4</v>
      </c>
      <c r="J15" s="16">
        <v>2</v>
      </c>
      <c r="K15" s="16">
        <v>3</v>
      </c>
      <c r="L15" s="16">
        <v>4</v>
      </c>
      <c r="M15" s="16">
        <v>3</v>
      </c>
      <c r="N15" s="16">
        <v>4</v>
      </c>
      <c r="O15" s="16">
        <v>3</v>
      </c>
      <c r="P15" s="16">
        <v>2</v>
      </c>
      <c r="Q15" s="16">
        <v>1</v>
      </c>
      <c r="R15" s="16">
        <v>2</v>
      </c>
      <c r="S15" s="16">
        <v>3</v>
      </c>
      <c r="T15" s="16">
        <v>1</v>
      </c>
      <c r="U15" s="16">
        <v>4</v>
      </c>
      <c r="V15" s="16">
        <v>3</v>
      </c>
      <c r="W15" s="16">
        <f t="shared" si="0"/>
        <v>53</v>
      </c>
      <c r="X15" s="16">
        <f t="shared" si="1"/>
        <v>66.25</v>
      </c>
      <c r="Y15" s="4" t="s">
        <v>218</v>
      </c>
    </row>
    <row r="16" spans="1:25" x14ac:dyDescent="0.35">
      <c r="A16" s="16">
        <v>15</v>
      </c>
      <c r="B16" s="17" t="s">
        <v>13</v>
      </c>
      <c r="C16" s="16">
        <v>3</v>
      </c>
      <c r="D16" s="16">
        <v>3</v>
      </c>
      <c r="E16" s="16">
        <v>3</v>
      </c>
      <c r="F16" s="16">
        <v>3</v>
      </c>
      <c r="G16" s="16">
        <v>2</v>
      </c>
      <c r="H16" s="16">
        <v>3</v>
      </c>
      <c r="I16" s="16">
        <v>1</v>
      </c>
      <c r="J16" s="16">
        <v>3</v>
      </c>
      <c r="K16" s="16">
        <v>3</v>
      </c>
      <c r="L16" s="16">
        <v>2</v>
      </c>
      <c r="M16" s="16">
        <v>2</v>
      </c>
      <c r="N16" s="16">
        <v>3</v>
      </c>
      <c r="O16" s="16">
        <v>3</v>
      </c>
      <c r="P16" s="16">
        <v>3</v>
      </c>
      <c r="Q16" s="16">
        <v>3</v>
      </c>
      <c r="R16" s="16">
        <v>3</v>
      </c>
      <c r="S16" s="16">
        <v>2</v>
      </c>
      <c r="T16" s="16">
        <v>4</v>
      </c>
      <c r="U16" s="16">
        <v>1</v>
      </c>
      <c r="V16" s="16">
        <v>3</v>
      </c>
      <c r="W16" s="16">
        <f t="shared" si="0"/>
        <v>53</v>
      </c>
      <c r="X16" s="16">
        <f t="shared" si="1"/>
        <v>66.25</v>
      </c>
      <c r="Y16" s="4" t="s">
        <v>218</v>
      </c>
    </row>
    <row r="17" spans="1:25" x14ac:dyDescent="0.35">
      <c r="A17" s="16">
        <v>16</v>
      </c>
      <c r="B17" s="17" t="s">
        <v>14</v>
      </c>
      <c r="C17" s="16">
        <v>3</v>
      </c>
      <c r="D17" s="16">
        <v>4</v>
      </c>
      <c r="E17" s="16">
        <v>3</v>
      </c>
      <c r="F17" s="16">
        <v>2</v>
      </c>
      <c r="G17" s="16">
        <v>2</v>
      </c>
      <c r="H17" s="16">
        <v>3</v>
      </c>
      <c r="I17" s="16">
        <v>2</v>
      </c>
      <c r="J17" s="16">
        <v>2</v>
      </c>
      <c r="K17" s="16">
        <v>3</v>
      </c>
      <c r="L17" s="16">
        <v>2</v>
      </c>
      <c r="M17" s="16">
        <v>2</v>
      </c>
      <c r="N17" s="16">
        <v>3</v>
      </c>
      <c r="O17" s="16">
        <v>2</v>
      </c>
      <c r="P17" s="16">
        <v>2</v>
      </c>
      <c r="Q17" s="16">
        <v>3</v>
      </c>
      <c r="R17" s="16">
        <v>3</v>
      </c>
      <c r="S17" s="16">
        <v>3</v>
      </c>
      <c r="T17" s="16">
        <v>3</v>
      </c>
      <c r="U17" s="16">
        <v>3</v>
      </c>
      <c r="V17" s="16">
        <v>2</v>
      </c>
      <c r="W17" s="16">
        <f t="shared" si="0"/>
        <v>52</v>
      </c>
      <c r="X17" s="16">
        <f t="shared" si="1"/>
        <v>65</v>
      </c>
      <c r="Y17" s="4" t="s">
        <v>218</v>
      </c>
    </row>
    <row r="18" spans="1:25" x14ac:dyDescent="0.35">
      <c r="A18" s="16">
        <v>17</v>
      </c>
      <c r="B18" s="17" t="s">
        <v>15</v>
      </c>
      <c r="C18" s="16">
        <v>3</v>
      </c>
      <c r="D18" s="16">
        <v>2</v>
      </c>
      <c r="E18" s="16">
        <v>4</v>
      </c>
      <c r="F18" s="16">
        <v>3</v>
      </c>
      <c r="G18" s="16">
        <v>4</v>
      </c>
      <c r="H18" s="16">
        <v>3</v>
      </c>
      <c r="I18" s="16">
        <v>1</v>
      </c>
      <c r="J18" s="16">
        <v>3</v>
      </c>
      <c r="K18" s="16">
        <v>1</v>
      </c>
      <c r="L18" s="16">
        <v>2</v>
      </c>
      <c r="M18" s="16">
        <v>1</v>
      </c>
      <c r="N18" s="16">
        <v>2</v>
      </c>
      <c r="O18" s="16">
        <v>4</v>
      </c>
      <c r="P18" s="16">
        <v>2</v>
      </c>
      <c r="Q18" s="16">
        <v>4</v>
      </c>
      <c r="R18" s="16">
        <v>4</v>
      </c>
      <c r="S18" s="16">
        <v>1</v>
      </c>
      <c r="T18" s="16">
        <v>2</v>
      </c>
      <c r="U18" s="16">
        <v>3</v>
      </c>
      <c r="V18" s="16">
        <v>4</v>
      </c>
      <c r="W18" s="16">
        <f t="shared" si="0"/>
        <v>53</v>
      </c>
      <c r="X18" s="16">
        <f t="shared" si="1"/>
        <v>66.25</v>
      </c>
      <c r="Y18" s="4" t="s">
        <v>218</v>
      </c>
    </row>
    <row r="19" spans="1:25" x14ac:dyDescent="0.35">
      <c r="A19" s="16">
        <v>18</v>
      </c>
      <c r="B19" s="17" t="s">
        <v>16</v>
      </c>
      <c r="C19" s="16">
        <v>4</v>
      </c>
      <c r="D19" s="16">
        <v>4</v>
      </c>
      <c r="E19" s="16">
        <v>4</v>
      </c>
      <c r="F19" s="16">
        <v>4</v>
      </c>
      <c r="G19" s="16">
        <v>3</v>
      </c>
      <c r="H19" s="16">
        <v>4</v>
      </c>
      <c r="I19" s="16">
        <v>4</v>
      </c>
      <c r="J19" s="16">
        <v>1</v>
      </c>
      <c r="K19" s="16">
        <v>3</v>
      </c>
      <c r="L19" s="16">
        <v>4</v>
      </c>
      <c r="M19" s="16">
        <v>3</v>
      </c>
      <c r="N19" s="16">
        <v>4</v>
      </c>
      <c r="O19" s="16">
        <v>1</v>
      </c>
      <c r="P19" s="16">
        <v>4</v>
      </c>
      <c r="Q19" s="16">
        <v>4</v>
      </c>
      <c r="R19" s="16">
        <v>4</v>
      </c>
      <c r="S19" s="16">
        <v>1</v>
      </c>
      <c r="T19" s="16">
        <v>4</v>
      </c>
      <c r="U19" s="16">
        <v>1</v>
      </c>
      <c r="V19" s="16">
        <v>1</v>
      </c>
      <c r="W19" s="16">
        <f t="shared" si="0"/>
        <v>62</v>
      </c>
      <c r="X19" s="16">
        <f t="shared" si="1"/>
        <v>77.5</v>
      </c>
      <c r="Y19" s="4" t="s">
        <v>217</v>
      </c>
    </row>
    <row r="20" spans="1:25" x14ac:dyDescent="0.35">
      <c r="A20" s="16">
        <v>19</v>
      </c>
      <c r="B20" s="17" t="s">
        <v>55</v>
      </c>
      <c r="C20" s="16">
        <v>3</v>
      </c>
      <c r="D20" s="16">
        <v>3</v>
      </c>
      <c r="E20" s="16">
        <v>3</v>
      </c>
      <c r="F20" s="16">
        <v>3</v>
      </c>
      <c r="G20" s="16">
        <v>4</v>
      </c>
      <c r="H20" s="16">
        <v>4</v>
      </c>
      <c r="I20" s="16">
        <v>4</v>
      </c>
      <c r="J20" s="16">
        <v>2</v>
      </c>
      <c r="K20" s="16">
        <v>4</v>
      </c>
      <c r="L20" s="16">
        <v>4</v>
      </c>
      <c r="M20" s="16">
        <v>4</v>
      </c>
      <c r="N20" s="16">
        <v>4</v>
      </c>
      <c r="O20" s="16">
        <v>2</v>
      </c>
      <c r="P20" s="16">
        <v>4</v>
      </c>
      <c r="Q20" s="16">
        <v>3</v>
      </c>
      <c r="R20" s="16">
        <v>1</v>
      </c>
      <c r="S20" s="16">
        <v>3</v>
      </c>
      <c r="T20" s="16">
        <v>1</v>
      </c>
      <c r="U20" s="16">
        <v>2</v>
      </c>
      <c r="V20" s="16">
        <v>2</v>
      </c>
      <c r="W20" s="16">
        <f t="shared" si="0"/>
        <v>60</v>
      </c>
      <c r="X20" s="16">
        <f t="shared" si="1"/>
        <v>75</v>
      </c>
      <c r="Y20" s="4" t="s">
        <v>218</v>
      </c>
    </row>
    <row r="21" spans="1:25" x14ac:dyDescent="0.35">
      <c r="A21" s="16">
        <v>20</v>
      </c>
      <c r="B21" s="17" t="s">
        <v>18</v>
      </c>
      <c r="C21" s="16">
        <v>3</v>
      </c>
      <c r="D21" s="16">
        <v>3</v>
      </c>
      <c r="E21" s="16">
        <v>3</v>
      </c>
      <c r="F21" s="16">
        <v>3</v>
      </c>
      <c r="G21" s="16">
        <v>4</v>
      </c>
      <c r="H21" s="16">
        <v>3</v>
      </c>
      <c r="I21" s="16">
        <v>3</v>
      </c>
      <c r="J21" s="16">
        <v>2</v>
      </c>
      <c r="K21" s="16">
        <v>3</v>
      </c>
      <c r="L21" s="16">
        <v>3</v>
      </c>
      <c r="M21" s="16">
        <v>3</v>
      </c>
      <c r="N21" s="16">
        <v>3</v>
      </c>
      <c r="O21" s="16">
        <v>3</v>
      </c>
      <c r="P21" s="16">
        <v>3</v>
      </c>
      <c r="Q21" s="16">
        <v>3</v>
      </c>
      <c r="R21" s="16">
        <v>3</v>
      </c>
      <c r="S21" s="16">
        <v>4</v>
      </c>
      <c r="T21" s="16">
        <v>2</v>
      </c>
      <c r="U21" s="16">
        <v>1</v>
      </c>
      <c r="V21" s="16">
        <v>4</v>
      </c>
      <c r="W21" s="16">
        <f t="shared" si="0"/>
        <v>59</v>
      </c>
      <c r="X21" s="16">
        <f t="shared" si="1"/>
        <v>73.75</v>
      </c>
      <c r="Y21" s="4" t="s">
        <v>218</v>
      </c>
    </row>
    <row r="22" spans="1:25" x14ac:dyDescent="0.35">
      <c r="A22" s="16">
        <v>21</v>
      </c>
      <c r="B22" s="17" t="s">
        <v>19</v>
      </c>
      <c r="C22" s="16">
        <v>3</v>
      </c>
      <c r="D22" s="16">
        <v>3</v>
      </c>
      <c r="E22" s="16">
        <v>3</v>
      </c>
      <c r="F22" s="16">
        <v>2</v>
      </c>
      <c r="G22" s="16">
        <v>2</v>
      </c>
      <c r="H22" s="16">
        <v>4</v>
      </c>
      <c r="I22" s="16">
        <v>3</v>
      </c>
      <c r="J22" s="16">
        <v>2</v>
      </c>
      <c r="K22" s="16">
        <v>1</v>
      </c>
      <c r="L22" s="16">
        <v>4</v>
      </c>
      <c r="M22" s="16">
        <v>2</v>
      </c>
      <c r="N22" s="16">
        <v>3</v>
      </c>
      <c r="O22" s="16">
        <v>3</v>
      </c>
      <c r="P22" s="16">
        <v>2</v>
      </c>
      <c r="Q22" s="16">
        <v>2</v>
      </c>
      <c r="R22" s="16">
        <v>3</v>
      </c>
      <c r="S22" s="16">
        <v>3</v>
      </c>
      <c r="T22" s="16">
        <v>2</v>
      </c>
      <c r="U22" s="16">
        <v>4</v>
      </c>
      <c r="V22" s="16">
        <v>2</v>
      </c>
      <c r="W22" s="16">
        <f t="shared" si="0"/>
        <v>53</v>
      </c>
      <c r="X22" s="16">
        <f t="shared" si="1"/>
        <v>66.25</v>
      </c>
      <c r="Y22" s="4" t="s">
        <v>218</v>
      </c>
    </row>
    <row r="23" spans="1:25" x14ac:dyDescent="0.35">
      <c r="A23" s="16">
        <v>22</v>
      </c>
      <c r="B23" s="17" t="s">
        <v>20</v>
      </c>
      <c r="C23" s="16">
        <v>3</v>
      </c>
      <c r="D23" s="16">
        <v>2</v>
      </c>
      <c r="E23" s="16">
        <v>3</v>
      </c>
      <c r="F23" s="16">
        <v>3</v>
      </c>
      <c r="G23" s="16">
        <v>3</v>
      </c>
      <c r="H23" s="16">
        <v>3</v>
      </c>
      <c r="I23" s="16">
        <v>3</v>
      </c>
      <c r="J23" s="16">
        <v>3</v>
      </c>
      <c r="K23" s="16">
        <v>3</v>
      </c>
      <c r="L23" s="16">
        <v>2</v>
      </c>
      <c r="M23" s="16">
        <v>3</v>
      </c>
      <c r="N23" s="16">
        <v>3</v>
      </c>
      <c r="O23" s="16">
        <v>3</v>
      </c>
      <c r="P23" s="16">
        <v>3</v>
      </c>
      <c r="Q23" s="16">
        <v>3</v>
      </c>
      <c r="R23" s="16">
        <v>3</v>
      </c>
      <c r="S23" s="16">
        <v>3</v>
      </c>
      <c r="T23" s="16">
        <v>3</v>
      </c>
      <c r="U23" s="16">
        <v>3</v>
      </c>
      <c r="V23" s="16">
        <v>3</v>
      </c>
      <c r="W23" s="16">
        <f t="shared" si="0"/>
        <v>58</v>
      </c>
      <c r="X23" s="16">
        <f t="shared" si="1"/>
        <v>72.5</v>
      </c>
      <c r="Y23" s="4" t="s">
        <v>218</v>
      </c>
    </row>
    <row r="24" spans="1:25" x14ac:dyDescent="0.35">
      <c r="A24" s="16">
        <v>23</v>
      </c>
      <c r="B24" s="17" t="s">
        <v>21</v>
      </c>
      <c r="C24" s="16">
        <v>3</v>
      </c>
      <c r="D24" s="16">
        <v>3</v>
      </c>
      <c r="E24" s="16">
        <v>4</v>
      </c>
      <c r="F24" s="16">
        <v>3</v>
      </c>
      <c r="G24" s="16">
        <v>2</v>
      </c>
      <c r="H24" s="16">
        <v>2</v>
      </c>
      <c r="I24" s="16">
        <v>2</v>
      </c>
      <c r="J24" s="16">
        <v>2</v>
      </c>
      <c r="K24" s="16">
        <v>3</v>
      </c>
      <c r="L24" s="16">
        <v>2</v>
      </c>
      <c r="M24" s="16">
        <v>2</v>
      </c>
      <c r="N24" s="16">
        <v>4</v>
      </c>
      <c r="O24" s="16">
        <v>1</v>
      </c>
      <c r="P24" s="16">
        <v>2</v>
      </c>
      <c r="Q24" s="16">
        <v>2</v>
      </c>
      <c r="R24" s="16">
        <v>3</v>
      </c>
      <c r="S24" s="16">
        <v>3</v>
      </c>
      <c r="T24" s="16">
        <v>3</v>
      </c>
      <c r="U24" s="16">
        <v>3</v>
      </c>
      <c r="V24" s="16">
        <v>2</v>
      </c>
      <c r="W24" s="16">
        <f t="shared" si="0"/>
        <v>51</v>
      </c>
      <c r="X24" s="16">
        <f t="shared" si="1"/>
        <v>63.749999999999993</v>
      </c>
      <c r="Y24" s="4" t="s">
        <v>218</v>
      </c>
    </row>
    <row r="25" spans="1:25" x14ac:dyDescent="0.35">
      <c r="A25" s="16">
        <v>24</v>
      </c>
      <c r="B25" s="17" t="s">
        <v>22</v>
      </c>
      <c r="C25" s="16">
        <v>3</v>
      </c>
      <c r="D25" s="16">
        <v>2</v>
      </c>
      <c r="E25" s="16">
        <v>3</v>
      </c>
      <c r="F25" s="16">
        <v>3</v>
      </c>
      <c r="G25" s="16">
        <v>3</v>
      </c>
      <c r="H25" s="16">
        <v>3</v>
      </c>
      <c r="I25" s="16">
        <v>3</v>
      </c>
      <c r="J25" s="16">
        <v>3</v>
      </c>
      <c r="K25" s="16">
        <v>3</v>
      </c>
      <c r="L25" s="16">
        <v>2</v>
      </c>
      <c r="M25" s="16">
        <v>3</v>
      </c>
      <c r="N25" s="16">
        <v>3</v>
      </c>
      <c r="O25" s="16">
        <v>3</v>
      </c>
      <c r="P25" s="16">
        <v>3</v>
      </c>
      <c r="Q25" s="16">
        <v>3</v>
      </c>
      <c r="R25" s="16">
        <v>3</v>
      </c>
      <c r="S25" s="16">
        <v>3</v>
      </c>
      <c r="T25" s="16">
        <v>3</v>
      </c>
      <c r="U25" s="16">
        <v>3</v>
      </c>
      <c r="V25" s="16">
        <v>3</v>
      </c>
      <c r="W25" s="16">
        <f t="shared" si="0"/>
        <v>58</v>
      </c>
      <c r="X25" s="16">
        <f t="shared" si="1"/>
        <v>72.5</v>
      </c>
      <c r="Y25" s="4" t="s">
        <v>218</v>
      </c>
    </row>
    <row r="26" spans="1:25" x14ac:dyDescent="0.35">
      <c r="A26" s="16">
        <v>25</v>
      </c>
      <c r="B26" s="17" t="s">
        <v>23</v>
      </c>
      <c r="C26" s="16">
        <v>3</v>
      </c>
      <c r="D26" s="16">
        <v>4</v>
      </c>
      <c r="E26" s="16">
        <v>3</v>
      </c>
      <c r="F26" s="16">
        <v>2</v>
      </c>
      <c r="G26" s="16">
        <v>2</v>
      </c>
      <c r="H26" s="16">
        <v>3</v>
      </c>
      <c r="I26" s="16">
        <v>2</v>
      </c>
      <c r="J26" s="16">
        <v>2</v>
      </c>
      <c r="K26" s="16">
        <v>3</v>
      </c>
      <c r="L26" s="16">
        <v>2</v>
      </c>
      <c r="M26" s="16">
        <v>2</v>
      </c>
      <c r="N26" s="16">
        <v>3</v>
      </c>
      <c r="O26" s="16">
        <v>2</v>
      </c>
      <c r="P26" s="16">
        <v>2</v>
      </c>
      <c r="Q26" s="16">
        <v>3</v>
      </c>
      <c r="R26" s="16">
        <v>3</v>
      </c>
      <c r="S26" s="16">
        <v>3</v>
      </c>
      <c r="T26" s="16">
        <v>3</v>
      </c>
      <c r="U26" s="16">
        <v>3</v>
      </c>
      <c r="V26" s="16">
        <v>2</v>
      </c>
      <c r="W26" s="16">
        <f t="shared" si="0"/>
        <v>52</v>
      </c>
      <c r="X26" s="16">
        <f t="shared" si="1"/>
        <v>65</v>
      </c>
      <c r="Y26" s="4" t="s">
        <v>218</v>
      </c>
    </row>
    <row r="27" spans="1:25" x14ac:dyDescent="0.35">
      <c r="A27" s="16">
        <v>26</v>
      </c>
      <c r="B27" s="17" t="s">
        <v>24</v>
      </c>
      <c r="C27" s="16">
        <v>3</v>
      </c>
      <c r="D27" s="16">
        <v>3</v>
      </c>
      <c r="E27" s="16">
        <v>4</v>
      </c>
      <c r="F27" s="16">
        <v>4</v>
      </c>
      <c r="G27" s="16">
        <v>2</v>
      </c>
      <c r="H27" s="16">
        <v>4</v>
      </c>
      <c r="I27" s="16">
        <v>2</v>
      </c>
      <c r="J27" s="16">
        <v>4</v>
      </c>
      <c r="K27" s="16">
        <v>3</v>
      </c>
      <c r="L27" s="16">
        <v>3</v>
      </c>
      <c r="M27" s="16">
        <v>1</v>
      </c>
      <c r="N27" s="16">
        <v>1</v>
      </c>
      <c r="O27" s="16">
        <v>2</v>
      </c>
      <c r="P27" s="16">
        <v>4</v>
      </c>
      <c r="Q27" s="16">
        <v>2</v>
      </c>
      <c r="R27" s="16">
        <v>4</v>
      </c>
      <c r="S27" s="16">
        <v>2</v>
      </c>
      <c r="T27" s="16">
        <v>3</v>
      </c>
      <c r="U27" s="16">
        <v>4</v>
      </c>
      <c r="V27" s="16">
        <v>4</v>
      </c>
      <c r="W27" s="16">
        <f t="shared" si="0"/>
        <v>59</v>
      </c>
      <c r="X27" s="16">
        <f t="shared" si="1"/>
        <v>73.75</v>
      </c>
      <c r="Y27" s="4" t="s">
        <v>218</v>
      </c>
    </row>
    <row r="28" spans="1:25" x14ac:dyDescent="0.35">
      <c r="A28" s="16">
        <v>27</v>
      </c>
      <c r="B28" s="17" t="s">
        <v>25</v>
      </c>
      <c r="C28" s="16">
        <v>3</v>
      </c>
      <c r="D28" s="16">
        <v>3</v>
      </c>
      <c r="E28" s="16">
        <v>4</v>
      </c>
      <c r="F28" s="16">
        <v>3</v>
      </c>
      <c r="G28" s="16">
        <v>4</v>
      </c>
      <c r="H28" s="16">
        <v>3</v>
      </c>
      <c r="I28" s="16">
        <v>1</v>
      </c>
      <c r="J28" s="16">
        <v>3</v>
      </c>
      <c r="K28" s="16">
        <v>3</v>
      </c>
      <c r="L28" s="16">
        <v>2</v>
      </c>
      <c r="M28" s="16">
        <v>1</v>
      </c>
      <c r="N28" s="16">
        <v>2</v>
      </c>
      <c r="O28" s="16">
        <v>1</v>
      </c>
      <c r="P28" s="16">
        <v>4</v>
      </c>
      <c r="Q28" s="16">
        <v>4</v>
      </c>
      <c r="R28" s="16">
        <v>4</v>
      </c>
      <c r="S28" s="16">
        <v>3</v>
      </c>
      <c r="T28" s="16">
        <v>1</v>
      </c>
      <c r="U28" s="16">
        <v>2</v>
      </c>
      <c r="V28" s="16">
        <v>2</v>
      </c>
      <c r="W28" s="16">
        <f t="shared" si="0"/>
        <v>53</v>
      </c>
      <c r="X28" s="16">
        <f t="shared" si="1"/>
        <v>66.25</v>
      </c>
      <c r="Y28" s="4" t="s">
        <v>218</v>
      </c>
    </row>
    <row r="29" spans="1:25" x14ac:dyDescent="0.35">
      <c r="A29" s="16">
        <v>28</v>
      </c>
      <c r="B29" s="17" t="s">
        <v>56</v>
      </c>
      <c r="C29" s="16">
        <v>3</v>
      </c>
      <c r="D29" s="16">
        <v>3</v>
      </c>
      <c r="E29" s="16">
        <v>2</v>
      </c>
      <c r="F29" s="16">
        <v>1</v>
      </c>
      <c r="G29" s="16">
        <v>3</v>
      </c>
      <c r="H29" s="16">
        <v>1</v>
      </c>
      <c r="I29" s="16">
        <v>4</v>
      </c>
      <c r="J29" s="16">
        <v>2</v>
      </c>
      <c r="K29" s="16">
        <v>1</v>
      </c>
      <c r="L29" s="16">
        <v>2</v>
      </c>
      <c r="M29" s="16">
        <v>3</v>
      </c>
      <c r="N29" s="16">
        <v>1</v>
      </c>
      <c r="O29" s="16">
        <v>3</v>
      </c>
      <c r="P29" s="16">
        <v>4</v>
      </c>
      <c r="Q29" s="16">
        <v>4</v>
      </c>
      <c r="R29" s="16">
        <v>2</v>
      </c>
      <c r="S29" s="16">
        <v>2</v>
      </c>
      <c r="T29" s="16">
        <v>4</v>
      </c>
      <c r="U29" s="16">
        <v>1</v>
      </c>
      <c r="V29" s="16">
        <v>2</v>
      </c>
      <c r="W29" s="16">
        <f t="shared" si="0"/>
        <v>48</v>
      </c>
      <c r="X29" s="16">
        <f t="shared" si="1"/>
        <v>60</v>
      </c>
      <c r="Y29" s="4" t="s">
        <v>218</v>
      </c>
    </row>
    <row r="30" spans="1:25" x14ac:dyDescent="0.35">
      <c r="A30" s="16">
        <v>29</v>
      </c>
      <c r="B30" s="17" t="s">
        <v>27</v>
      </c>
      <c r="C30" s="16">
        <v>3</v>
      </c>
      <c r="D30" s="16">
        <v>4</v>
      </c>
      <c r="E30" s="16">
        <v>2</v>
      </c>
      <c r="F30" s="16">
        <v>2</v>
      </c>
      <c r="G30" s="16">
        <v>2</v>
      </c>
      <c r="H30" s="16">
        <v>3</v>
      </c>
      <c r="I30" s="16">
        <v>2</v>
      </c>
      <c r="J30" s="16">
        <v>2</v>
      </c>
      <c r="K30" s="16">
        <v>3</v>
      </c>
      <c r="L30" s="16">
        <v>2</v>
      </c>
      <c r="M30" s="16">
        <v>2</v>
      </c>
      <c r="N30" s="16">
        <v>3</v>
      </c>
      <c r="O30" s="16">
        <v>2</v>
      </c>
      <c r="P30" s="16">
        <v>2</v>
      </c>
      <c r="Q30" s="16">
        <v>3</v>
      </c>
      <c r="R30" s="16">
        <v>3</v>
      </c>
      <c r="S30" s="16">
        <v>3</v>
      </c>
      <c r="T30" s="16">
        <v>3</v>
      </c>
      <c r="U30" s="16">
        <v>3</v>
      </c>
      <c r="V30" s="16">
        <v>2</v>
      </c>
      <c r="W30" s="16">
        <f t="shared" si="0"/>
        <v>51</v>
      </c>
      <c r="X30" s="16">
        <f t="shared" si="1"/>
        <v>63.749999999999993</v>
      </c>
      <c r="Y30" s="4" t="s">
        <v>218</v>
      </c>
    </row>
    <row r="31" spans="1:25" x14ac:dyDescent="0.35">
      <c r="A31" s="16">
        <v>30</v>
      </c>
      <c r="B31" s="17" t="s">
        <v>50</v>
      </c>
      <c r="C31" s="16">
        <v>3</v>
      </c>
      <c r="D31" s="16">
        <v>2</v>
      </c>
      <c r="E31" s="16">
        <v>3</v>
      </c>
      <c r="F31" s="16">
        <v>2</v>
      </c>
      <c r="G31" s="16">
        <v>2</v>
      </c>
      <c r="H31" s="16">
        <v>3</v>
      </c>
      <c r="I31" s="16">
        <v>2</v>
      </c>
      <c r="J31" s="16">
        <v>2</v>
      </c>
      <c r="K31" s="16">
        <v>3</v>
      </c>
      <c r="L31" s="16">
        <v>2</v>
      </c>
      <c r="M31" s="16">
        <v>2</v>
      </c>
      <c r="N31" s="16">
        <v>3</v>
      </c>
      <c r="O31" s="16">
        <v>2</v>
      </c>
      <c r="P31" s="16">
        <v>2</v>
      </c>
      <c r="Q31" s="16">
        <v>3</v>
      </c>
      <c r="R31" s="16">
        <v>3</v>
      </c>
      <c r="S31" s="16">
        <v>3</v>
      </c>
      <c r="T31" s="16">
        <v>3</v>
      </c>
      <c r="U31" s="16">
        <v>3</v>
      </c>
      <c r="V31" s="16">
        <v>2</v>
      </c>
      <c r="W31" s="16">
        <f t="shared" si="0"/>
        <v>50</v>
      </c>
      <c r="X31" s="16">
        <f t="shared" si="1"/>
        <v>62.5</v>
      </c>
      <c r="Y31" s="4" t="s">
        <v>218</v>
      </c>
    </row>
    <row r="32" spans="1:25" x14ac:dyDescent="0.35">
      <c r="A32" s="16">
        <v>31</v>
      </c>
      <c r="B32" s="17" t="s">
        <v>29</v>
      </c>
      <c r="C32" s="16">
        <v>3</v>
      </c>
      <c r="D32" s="16">
        <v>4</v>
      </c>
      <c r="E32" s="16">
        <v>3</v>
      </c>
      <c r="F32" s="16">
        <v>2</v>
      </c>
      <c r="G32" s="16">
        <v>2</v>
      </c>
      <c r="H32" s="16">
        <v>3</v>
      </c>
      <c r="I32" s="16">
        <v>2</v>
      </c>
      <c r="J32" s="16">
        <v>2</v>
      </c>
      <c r="K32" s="16">
        <v>3</v>
      </c>
      <c r="L32" s="16">
        <v>2</v>
      </c>
      <c r="M32" s="16">
        <v>2</v>
      </c>
      <c r="N32" s="16">
        <v>3</v>
      </c>
      <c r="O32" s="16">
        <v>2</v>
      </c>
      <c r="P32" s="16">
        <v>2</v>
      </c>
      <c r="Q32" s="16">
        <v>3</v>
      </c>
      <c r="R32" s="16">
        <v>3</v>
      </c>
      <c r="S32" s="16">
        <v>3</v>
      </c>
      <c r="T32" s="16">
        <v>3</v>
      </c>
      <c r="U32" s="16">
        <v>3</v>
      </c>
      <c r="V32" s="16">
        <v>2</v>
      </c>
      <c r="W32" s="16">
        <f t="shared" si="0"/>
        <v>52</v>
      </c>
      <c r="X32" s="16">
        <f t="shared" si="1"/>
        <v>65</v>
      </c>
      <c r="Y32" s="4" t="s">
        <v>218</v>
      </c>
    </row>
    <row r="33" spans="1:25" x14ac:dyDescent="0.35">
      <c r="A33" s="16">
        <v>32</v>
      </c>
      <c r="B33" s="17" t="s">
        <v>30</v>
      </c>
      <c r="C33" s="16">
        <v>3</v>
      </c>
      <c r="D33" s="16">
        <v>2</v>
      </c>
      <c r="E33" s="16">
        <v>3</v>
      </c>
      <c r="F33" s="16">
        <v>3</v>
      </c>
      <c r="G33" s="16">
        <v>2</v>
      </c>
      <c r="H33" s="16">
        <v>1</v>
      </c>
      <c r="I33" s="16">
        <v>4</v>
      </c>
      <c r="J33" s="16">
        <v>4</v>
      </c>
      <c r="K33" s="16">
        <v>3</v>
      </c>
      <c r="L33" s="16">
        <v>3</v>
      </c>
      <c r="M33" s="16">
        <v>4</v>
      </c>
      <c r="N33" s="16">
        <v>3</v>
      </c>
      <c r="O33" s="16">
        <v>4</v>
      </c>
      <c r="P33" s="16">
        <v>3</v>
      </c>
      <c r="Q33" s="16">
        <v>4</v>
      </c>
      <c r="R33" s="16">
        <v>2</v>
      </c>
      <c r="S33" s="16">
        <v>2</v>
      </c>
      <c r="T33" s="16">
        <v>2</v>
      </c>
      <c r="U33" s="16">
        <v>4</v>
      </c>
      <c r="V33" s="16">
        <v>4</v>
      </c>
      <c r="W33" s="16">
        <f t="shared" si="0"/>
        <v>60</v>
      </c>
      <c r="X33" s="16">
        <f t="shared" si="1"/>
        <v>75</v>
      </c>
      <c r="Y33" s="4" t="s">
        <v>218</v>
      </c>
    </row>
    <row r="34" spans="1:25" x14ac:dyDescent="0.35">
      <c r="A34" s="16">
        <v>33</v>
      </c>
      <c r="B34" s="17" t="s">
        <v>57</v>
      </c>
      <c r="C34" s="16">
        <v>3</v>
      </c>
      <c r="D34" s="16">
        <v>3</v>
      </c>
      <c r="E34" s="16">
        <v>3</v>
      </c>
      <c r="F34" s="16">
        <v>2</v>
      </c>
      <c r="G34" s="16">
        <v>3</v>
      </c>
      <c r="H34" s="16">
        <v>3</v>
      </c>
      <c r="I34" s="16">
        <v>3</v>
      </c>
      <c r="J34" s="16">
        <v>3</v>
      </c>
      <c r="K34" s="16">
        <v>3</v>
      </c>
      <c r="L34" s="16">
        <v>3</v>
      </c>
      <c r="M34" s="16">
        <v>3</v>
      </c>
      <c r="N34" s="16">
        <v>3</v>
      </c>
      <c r="O34" s="16">
        <v>3</v>
      </c>
      <c r="P34" s="16">
        <v>3</v>
      </c>
      <c r="Q34" s="16">
        <v>3</v>
      </c>
      <c r="R34" s="16">
        <v>3</v>
      </c>
      <c r="S34" s="16">
        <v>3</v>
      </c>
      <c r="T34" s="16">
        <v>3</v>
      </c>
      <c r="U34" s="16">
        <v>3</v>
      </c>
      <c r="V34" s="16">
        <v>2</v>
      </c>
      <c r="W34" s="16">
        <f t="shared" si="0"/>
        <v>58</v>
      </c>
      <c r="X34" s="16">
        <f t="shared" si="1"/>
        <v>72.5</v>
      </c>
      <c r="Y34" s="4" t="s">
        <v>218</v>
      </c>
    </row>
    <row r="35" spans="1:25" x14ac:dyDescent="0.35">
      <c r="A35" s="16">
        <v>34</v>
      </c>
      <c r="B35" s="17" t="s">
        <v>32</v>
      </c>
      <c r="C35" s="16">
        <v>3</v>
      </c>
      <c r="D35" s="16">
        <v>3</v>
      </c>
      <c r="E35" s="16">
        <v>1</v>
      </c>
      <c r="F35" s="16">
        <v>4</v>
      </c>
      <c r="G35" s="16">
        <v>4</v>
      </c>
      <c r="H35" s="16">
        <v>1</v>
      </c>
      <c r="I35" s="16">
        <v>3</v>
      </c>
      <c r="J35" s="16">
        <v>3</v>
      </c>
      <c r="K35" s="16">
        <v>1</v>
      </c>
      <c r="L35" s="16">
        <v>4</v>
      </c>
      <c r="M35" s="16">
        <v>4</v>
      </c>
      <c r="N35" s="16">
        <v>1</v>
      </c>
      <c r="O35" s="16">
        <v>3</v>
      </c>
      <c r="P35" s="16">
        <v>3</v>
      </c>
      <c r="Q35" s="16">
        <v>2</v>
      </c>
      <c r="R35" s="16">
        <v>1</v>
      </c>
      <c r="S35" s="16">
        <v>2</v>
      </c>
      <c r="T35" s="16">
        <v>2</v>
      </c>
      <c r="U35" s="16">
        <v>2</v>
      </c>
      <c r="V35" s="16">
        <v>4</v>
      </c>
      <c r="W35" s="16">
        <f t="shared" si="0"/>
        <v>51</v>
      </c>
      <c r="X35" s="16">
        <f t="shared" si="1"/>
        <v>63.749999999999993</v>
      </c>
      <c r="Y35" s="4" t="s">
        <v>218</v>
      </c>
    </row>
    <row r="36" spans="1:25" x14ac:dyDescent="0.35">
      <c r="A36" s="16">
        <v>35</v>
      </c>
      <c r="B36" s="17" t="s">
        <v>33</v>
      </c>
      <c r="C36" s="16">
        <v>3</v>
      </c>
      <c r="D36" s="16">
        <v>2</v>
      </c>
      <c r="E36" s="16">
        <v>3</v>
      </c>
      <c r="F36" s="16">
        <v>3</v>
      </c>
      <c r="G36" s="16">
        <v>2</v>
      </c>
      <c r="H36" s="16">
        <v>3</v>
      </c>
      <c r="I36" s="16">
        <v>3</v>
      </c>
      <c r="J36" s="16">
        <v>2</v>
      </c>
      <c r="K36" s="16">
        <v>3</v>
      </c>
      <c r="L36" s="16">
        <v>2</v>
      </c>
      <c r="M36" s="16">
        <v>2</v>
      </c>
      <c r="N36" s="16">
        <v>3</v>
      </c>
      <c r="O36" s="16">
        <v>3</v>
      </c>
      <c r="P36" s="16">
        <v>3</v>
      </c>
      <c r="Q36" s="16">
        <v>3</v>
      </c>
      <c r="R36" s="16">
        <v>3</v>
      </c>
      <c r="S36" s="16">
        <v>3</v>
      </c>
      <c r="T36" s="16">
        <v>3</v>
      </c>
      <c r="U36" s="16">
        <v>3</v>
      </c>
      <c r="V36" s="16">
        <v>3</v>
      </c>
      <c r="W36" s="16">
        <f t="shared" si="0"/>
        <v>55</v>
      </c>
      <c r="X36" s="16">
        <f t="shared" si="1"/>
        <v>68.75</v>
      </c>
      <c r="Y36" s="4" t="s">
        <v>218</v>
      </c>
    </row>
    <row r="37" spans="1:25" x14ac:dyDescent="0.35">
      <c r="A37" s="16">
        <v>36</v>
      </c>
      <c r="B37" s="17" t="s">
        <v>34</v>
      </c>
      <c r="C37" s="16">
        <v>3</v>
      </c>
      <c r="D37" s="16">
        <v>2</v>
      </c>
      <c r="E37" s="16">
        <v>3</v>
      </c>
      <c r="F37" s="16">
        <v>3</v>
      </c>
      <c r="G37" s="16">
        <v>2</v>
      </c>
      <c r="H37" s="16">
        <v>4</v>
      </c>
      <c r="I37" s="16">
        <v>3</v>
      </c>
      <c r="J37" s="16">
        <v>3</v>
      </c>
      <c r="K37" s="16">
        <v>3</v>
      </c>
      <c r="L37" s="16">
        <v>4</v>
      </c>
      <c r="M37" s="16">
        <v>4</v>
      </c>
      <c r="N37" s="16">
        <v>3</v>
      </c>
      <c r="O37" s="16">
        <v>1</v>
      </c>
      <c r="P37" s="16">
        <v>2</v>
      </c>
      <c r="Q37" s="16">
        <v>2</v>
      </c>
      <c r="R37" s="16">
        <v>3</v>
      </c>
      <c r="S37" s="16">
        <v>4</v>
      </c>
      <c r="T37" s="16">
        <v>4</v>
      </c>
      <c r="U37" s="16">
        <v>3</v>
      </c>
      <c r="V37" s="16">
        <v>3</v>
      </c>
      <c r="W37" s="16">
        <f t="shared" si="0"/>
        <v>59</v>
      </c>
      <c r="X37" s="16">
        <f t="shared" si="1"/>
        <v>73.75</v>
      </c>
      <c r="Y37" s="4" t="s">
        <v>218</v>
      </c>
    </row>
    <row r="38" spans="1:25" x14ac:dyDescent="0.35">
      <c r="A38" s="16">
        <v>37</v>
      </c>
      <c r="B38" s="17" t="s">
        <v>35</v>
      </c>
      <c r="C38" s="16">
        <v>3</v>
      </c>
      <c r="D38" s="16">
        <v>3</v>
      </c>
      <c r="E38" s="16">
        <v>4</v>
      </c>
      <c r="F38" s="16">
        <v>3</v>
      </c>
      <c r="G38" s="16">
        <v>4</v>
      </c>
      <c r="H38" s="16">
        <v>3</v>
      </c>
      <c r="I38" s="16">
        <v>4</v>
      </c>
      <c r="J38" s="16">
        <v>4</v>
      </c>
      <c r="K38" s="16">
        <v>3</v>
      </c>
      <c r="L38" s="16">
        <v>2</v>
      </c>
      <c r="M38" s="16">
        <v>4</v>
      </c>
      <c r="N38" s="16">
        <v>2</v>
      </c>
      <c r="O38" s="16">
        <v>4</v>
      </c>
      <c r="P38" s="16">
        <v>3</v>
      </c>
      <c r="Q38" s="16">
        <v>2</v>
      </c>
      <c r="R38" s="16">
        <v>3</v>
      </c>
      <c r="S38" s="16">
        <v>2</v>
      </c>
      <c r="T38" s="16">
        <v>1</v>
      </c>
      <c r="U38" s="16">
        <v>1</v>
      </c>
      <c r="V38" s="16">
        <v>2</v>
      </c>
      <c r="W38" s="16">
        <f t="shared" si="0"/>
        <v>57</v>
      </c>
      <c r="X38" s="16">
        <f t="shared" si="1"/>
        <v>71.25</v>
      </c>
      <c r="Y38" s="4" t="s">
        <v>218</v>
      </c>
    </row>
    <row r="39" spans="1:25" x14ac:dyDescent="0.35">
      <c r="A39" s="16">
        <v>38</v>
      </c>
      <c r="B39" s="17" t="s">
        <v>36</v>
      </c>
      <c r="C39" s="16">
        <v>1</v>
      </c>
      <c r="D39" s="16">
        <v>1</v>
      </c>
      <c r="E39" s="16">
        <v>3</v>
      </c>
      <c r="F39" s="16">
        <v>2</v>
      </c>
      <c r="G39" s="16">
        <v>3</v>
      </c>
      <c r="H39" s="16">
        <v>1</v>
      </c>
      <c r="I39" s="16">
        <v>2</v>
      </c>
      <c r="J39" s="16">
        <v>4</v>
      </c>
      <c r="K39" s="16">
        <v>4</v>
      </c>
      <c r="L39" s="16">
        <v>3</v>
      </c>
      <c r="M39" s="16">
        <v>4</v>
      </c>
      <c r="N39" s="16">
        <v>3</v>
      </c>
      <c r="O39" s="16">
        <v>3</v>
      </c>
      <c r="P39" s="16">
        <v>4</v>
      </c>
      <c r="Q39" s="16">
        <v>2</v>
      </c>
      <c r="R39" s="16">
        <v>4</v>
      </c>
      <c r="S39" s="16">
        <v>4</v>
      </c>
      <c r="T39" s="16">
        <v>4</v>
      </c>
      <c r="U39" s="16">
        <v>2</v>
      </c>
      <c r="V39" s="16">
        <v>3</v>
      </c>
      <c r="W39" s="16">
        <f t="shared" si="0"/>
        <v>57</v>
      </c>
      <c r="X39" s="16">
        <f t="shared" si="1"/>
        <v>71.25</v>
      </c>
      <c r="Y39" s="4" t="s">
        <v>218</v>
      </c>
    </row>
    <row r="40" spans="1:25" x14ac:dyDescent="0.35">
      <c r="A40" s="16">
        <v>39</v>
      </c>
      <c r="B40" s="17" t="s">
        <v>37</v>
      </c>
      <c r="C40" s="16">
        <v>3</v>
      </c>
      <c r="D40" s="16">
        <v>3</v>
      </c>
      <c r="E40" s="16">
        <v>3</v>
      </c>
      <c r="F40" s="16">
        <v>3</v>
      </c>
      <c r="G40" s="16">
        <v>4</v>
      </c>
      <c r="H40" s="16">
        <v>3</v>
      </c>
      <c r="I40" s="16">
        <v>3</v>
      </c>
      <c r="J40" s="16">
        <v>2</v>
      </c>
      <c r="K40" s="16">
        <v>3</v>
      </c>
      <c r="L40" s="16">
        <v>3</v>
      </c>
      <c r="M40" s="16">
        <v>3</v>
      </c>
      <c r="N40" s="16">
        <v>3</v>
      </c>
      <c r="O40" s="16">
        <v>3</v>
      </c>
      <c r="P40" s="16">
        <v>3</v>
      </c>
      <c r="Q40" s="16">
        <v>3</v>
      </c>
      <c r="R40" s="16">
        <v>2</v>
      </c>
      <c r="S40" s="16">
        <v>3</v>
      </c>
      <c r="T40" s="16">
        <v>1</v>
      </c>
      <c r="U40" s="16">
        <v>2</v>
      </c>
      <c r="V40" s="16">
        <v>3</v>
      </c>
      <c r="W40" s="16">
        <f t="shared" si="0"/>
        <v>56</v>
      </c>
      <c r="X40" s="16">
        <f t="shared" si="1"/>
        <v>70</v>
      </c>
      <c r="Y40" s="4" t="s">
        <v>218</v>
      </c>
    </row>
    <row r="41" spans="1:25" x14ac:dyDescent="0.35">
      <c r="A41" s="16">
        <v>40</v>
      </c>
      <c r="B41" s="17" t="s">
        <v>58</v>
      </c>
      <c r="C41" s="16">
        <v>3</v>
      </c>
      <c r="D41" s="16">
        <v>1</v>
      </c>
      <c r="E41" s="16">
        <v>3</v>
      </c>
      <c r="F41" s="16">
        <v>2</v>
      </c>
      <c r="G41" s="16">
        <v>1</v>
      </c>
      <c r="H41" s="16">
        <v>3</v>
      </c>
      <c r="I41" s="16">
        <v>1</v>
      </c>
      <c r="J41" s="16">
        <v>4</v>
      </c>
      <c r="K41" s="16">
        <v>2</v>
      </c>
      <c r="L41" s="16">
        <v>1</v>
      </c>
      <c r="M41" s="16">
        <v>4</v>
      </c>
      <c r="N41" s="16">
        <v>2</v>
      </c>
      <c r="O41" s="16">
        <v>1</v>
      </c>
      <c r="P41" s="16">
        <v>4</v>
      </c>
      <c r="Q41" s="16">
        <v>4</v>
      </c>
      <c r="R41" s="16">
        <v>4</v>
      </c>
      <c r="S41" s="16">
        <v>1</v>
      </c>
      <c r="T41" s="16">
        <v>4</v>
      </c>
      <c r="U41" s="16">
        <v>1</v>
      </c>
      <c r="V41" s="16">
        <v>1</v>
      </c>
      <c r="W41" s="16">
        <f t="shared" si="0"/>
        <v>47</v>
      </c>
      <c r="X41" s="16">
        <f t="shared" si="1"/>
        <v>58.75</v>
      </c>
      <c r="Y41" s="4" t="s">
        <v>218</v>
      </c>
    </row>
    <row r="42" spans="1:25" x14ac:dyDescent="0.35">
      <c r="A42" s="16">
        <v>41</v>
      </c>
      <c r="B42" s="17" t="s">
        <v>39</v>
      </c>
      <c r="C42" s="16">
        <v>4</v>
      </c>
      <c r="D42" s="16">
        <v>4</v>
      </c>
      <c r="E42" s="16">
        <v>4</v>
      </c>
      <c r="F42" s="16">
        <v>3</v>
      </c>
      <c r="G42" s="16">
        <v>2</v>
      </c>
      <c r="H42" s="16">
        <v>3</v>
      </c>
      <c r="I42" s="16">
        <v>4</v>
      </c>
      <c r="J42" s="16">
        <v>3</v>
      </c>
      <c r="K42" s="16">
        <v>3</v>
      </c>
      <c r="L42" s="16">
        <v>4</v>
      </c>
      <c r="M42" s="16">
        <v>4</v>
      </c>
      <c r="N42" s="16">
        <v>3</v>
      </c>
      <c r="O42" s="16">
        <v>4</v>
      </c>
      <c r="P42" s="16">
        <v>4</v>
      </c>
      <c r="Q42" s="16">
        <v>2</v>
      </c>
      <c r="R42" s="16">
        <v>3</v>
      </c>
      <c r="S42" s="16">
        <v>4</v>
      </c>
      <c r="T42" s="16">
        <v>3</v>
      </c>
      <c r="U42" s="16">
        <v>3</v>
      </c>
      <c r="V42" s="16">
        <v>4</v>
      </c>
      <c r="W42" s="16">
        <f t="shared" si="0"/>
        <v>68</v>
      </c>
      <c r="X42" s="16">
        <f t="shared" si="1"/>
        <v>85</v>
      </c>
      <c r="Y42" s="4" t="s">
        <v>217</v>
      </c>
    </row>
    <row r="43" spans="1:25" x14ac:dyDescent="0.35">
      <c r="A43" s="16">
        <v>42</v>
      </c>
      <c r="B43" s="17" t="s">
        <v>40</v>
      </c>
      <c r="C43" s="16">
        <v>3</v>
      </c>
      <c r="D43" s="16">
        <v>3</v>
      </c>
      <c r="E43" s="16">
        <v>3</v>
      </c>
      <c r="F43" s="16">
        <v>2</v>
      </c>
      <c r="G43" s="16">
        <v>3</v>
      </c>
      <c r="H43" s="16">
        <v>4</v>
      </c>
      <c r="I43" s="16">
        <v>4</v>
      </c>
      <c r="J43" s="16">
        <v>2</v>
      </c>
      <c r="K43" s="16">
        <v>3</v>
      </c>
      <c r="L43" s="16">
        <v>3</v>
      </c>
      <c r="M43" s="16">
        <v>4</v>
      </c>
      <c r="N43" s="16">
        <v>3</v>
      </c>
      <c r="O43" s="16">
        <v>2</v>
      </c>
      <c r="P43" s="16">
        <v>4</v>
      </c>
      <c r="Q43" s="16">
        <v>3</v>
      </c>
      <c r="R43" s="16">
        <v>4</v>
      </c>
      <c r="S43" s="16">
        <v>3</v>
      </c>
      <c r="T43" s="16">
        <v>3</v>
      </c>
      <c r="U43" s="16">
        <v>3</v>
      </c>
      <c r="V43" s="16">
        <v>1</v>
      </c>
      <c r="W43" s="16">
        <f t="shared" si="0"/>
        <v>60</v>
      </c>
      <c r="X43" s="16">
        <f t="shared" si="1"/>
        <v>75</v>
      </c>
      <c r="Y43" s="4" t="s">
        <v>218</v>
      </c>
    </row>
    <row r="44" spans="1:25" x14ac:dyDescent="0.35">
      <c r="A44" s="42"/>
      <c r="B44" s="17" t="s">
        <v>174</v>
      </c>
      <c r="C44" s="42">
        <f>SUM(C2:C43)</f>
        <v>126</v>
      </c>
      <c r="D44" s="42">
        <f t="shared" ref="D44:X44" si="2">SUM(D2:D43)</f>
        <v>118</v>
      </c>
      <c r="E44" s="42">
        <f t="shared" si="2"/>
        <v>125</v>
      </c>
      <c r="F44" s="42">
        <f t="shared" si="2"/>
        <v>110</v>
      </c>
      <c r="G44" s="42">
        <f t="shared" si="2"/>
        <v>113</v>
      </c>
      <c r="H44" s="42">
        <f t="shared" si="2"/>
        <v>126</v>
      </c>
      <c r="I44" s="42">
        <f t="shared" si="2"/>
        <v>118</v>
      </c>
      <c r="J44" s="42">
        <f t="shared" si="2"/>
        <v>107</v>
      </c>
      <c r="K44" s="42">
        <f t="shared" si="2"/>
        <v>115</v>
      </c>
      <c r="L44" s="42">
        <f t="shared" si="2"/>
        <v>116</v>
      </c>
      <c r="M44" s="42">
        <f t="shared" si="2"/>
        <v>122</v>
      </c>
      <c r="N44" s="42">
        <f t="shared" si="2"/>
        <v>115</v>
      </c>
      <c r="O44" s="42">
        <f t="shared" si="2"/>
        <v>110</v>
      </c>
      <c r="P44" s="42">
        <f t="shared" si="2"/>
        <v>127</v>
      </c>
      <c r="Q44" s="42">
        <f t="shared" si="2"/>
        <v>120</v>
      </c>
      <c r="R44" s="42">
        <f t="shared" si="2"/>
        <v>121</v>
      </c>
      <c r="S44" s="42">
        <f t="shared" si="2"/>
        <v>119</v>
      </c>
      <c r="T44" s="42">
        <f t="shared" si="2"/>
        <v>115</v>
      </c>
      <c r="U44" s="42">
        <f t="shared" si="2"/>
        <v>112</v>
      </c>
      <c r="V44" s="42">
        <f t="shared" si="2"/>
        <v>105</v>
      </c>
      <c r="W44" s="42">
        <f t="shared" si="2"/>
        <v>2340</v>
      </c>
      <c r="X44" s="42">
        <f t="shared" si="2"/>
        <v>2925</v>
      </c>
      <c r="Y44" s="4"/>
    </row>
    <row r="45" spans="1:25" x14ac:dyDescent="0.35">
      <c r="A45" s="42"/>
      <c r="B45" s="17" t="s">
        <v>215</v>
      </c>
      <c r="C45" s="42">
        <f>4*42</f>
        <v>168</v>
      </c>
      <c r="D45" s="42">
        <f t="shared" ref="D45:V45" si="3">4*42</f>
        <v>168</v>
      </c>
      <c r="E45" s="42">
        <f t="shared" si="3"/>
        <v>168</v>
      </c>
      <c r="F45" s="42">
        <f t="shared" si="3"/>
        <v>168</v>
      </c>
      <c r="G45" s="42">
        <f t="shared" si="3"/>
        <v>168</v>
      </c>
      <c r="H45" s="42">
        <f t="shared" si="3"/>
        <v>168</v>
      </c>
      <c r="I45" s="42">
        <f t="shared" si="3"/>
        <v>168</v>
      </c>
      <c r="J45" s="42">
        <f t="shared" si="3"/>
        <v>168</v>
      </c>
      <c r="K45" s="42">
        <f t="shared" si="3"/>
        <v>168</v>
      </c>
      <c r="L45" s="42">
        <f t="shared" si="3"/>
        <v>168</v>
      </c>
      <c r="M45" s="42">
        <f t="shared" si="3"/>
        <v>168</v>
      </c>
      <c r="N45" s="42">
        <f t="shared" si="3"/>
        <v>168</v>
      </c>
      <c r="O45" s="42">
        <f t="shared" si="3"/>
        <v>168</v>
      </c>
      <c r="P45" s="42">
        <f t="shared" si="3"/>
        <v>168</v>
      </c>
      <c r="Q45" s="42">
        <f t="shared" si="3"/>
        <v>168</v>
      </c>
      <c r="R45" s="42">
        <f t="shared" si="3"/>
        <v>168</v>
      </c>
      <c r="S45" s="42">
        <f t="shared" si="3"/>
        <v>168</v>
      </c>
      <c r="T45" s="42">
        <f t="shared" si="3"/>
        <v>168</v>
      </c>
      <c r="U45" s="42">
        <f t="shared" si="3"/>
        <v>168</v>
      </c>
      <c r="V45" s="42">
        <f t="shared" si="3"/>
        <v>168</v>
      </c>
      <c r="W45" s="42"/>
      <c r="X45" s="42"/>
      <c r="Y45" s="4"/>
    </row>
    <row r="46" spans="1:25" x14ac:dyDescent="0.35">
      <c r="A46" s="42"/>
      <c r="B46" s="17" t="s">
        <v>213</v>
      </c>
      <c r="C46" s="42">
        <f>C44/C45*100</f>
        <v>75</v>
      </c>
      <c r="D46" s="43">
        <f>D44/D45*100</f>
        <v>70.238095238095227</v>
      </c>
      <c r="E46" s="43">
        <f t="shared" ref="E46:V46" si="4">E44/E45*100</f>
        <v>74.404761904761912</v>
      </c>
      <c r="F46" s="43">
        <f t="shared" si="4"/>
        <v>65.476190476190482</v>
      </c>
      <c r="G46" s="43">
        <f t="shared" si="4"/>
        <v>67.261904761904773</v>
      </c>
      <c r="H46" s="42">
        <f t="shared" si="4"/>
        <v>75</v>
      </c>
      <c r="I46" s="43">
        <f t="shared" si="4"/>
        <v>70.238095238095227</v>
      </c>
      <c r="J46" s="43">
        <f t="shared" si="4"/>
        <v>63.69047619047619</v>
      </c>
      <c r="K46" s="43">
        <f t="shared" si="4"/>
        <v>68.452380952380949</v>
      </c>
      <c r="L46" s="43">
        <f t="shared" si="4"/>
        <v>69.047619047619051</v>
      </c>
      <c r="M46" s="43">
        <f t="shared" si="4"/>
        <v>72.61904761904762</v>
      </c>
      <c r="N46" s="43">
        <f t="shared" si="4"/>
        <v>68.452380952380949</v>
      </c>
      <c r="O46" s="43">
        <f t="shared" si="4"/>
        <v>65.476190476190482</v>
      </c>
      <c r="P46" s="43">
        <f t="shared" si="4"/>
        <v>75.595238095238088</v>
      </c>
      <c r="Q46" s="43">
        <f t="shared" si="4"/>
        <v>71.428571428571431</v>
      </c>
      <c r="R46" s="43">
        <f t="shared" si="4"/>
        <v>72.023809523809518</v>
      </c>
      <c r="S46" s="43">
        <f t="shared" si="4"/>
        <v>70.833333333333343</v>
      </c>
      <c r="T46" s="43">
        <f t="shared" si="4"/>
        <v>68.452380952380949</v>
      </c>
      <c r="U46" s="43">
        <f t="shared" si="4"/>
        <v>66.666666666666657</v>
      </c>
      <c r="V46" s="42">
        <f t="shared" si="4"/>
        <v>62.5</v>
      </c>
      <c r="W46" s="42"/>
      <c r="X46" s="42"/>
      <c r="Y46" s="4"/>
    </row>
    <row r="47" spans="1:25" x14ac:dyDescent="0.35">
      <c r="A47" s="42"/>
      <c r="B47" s="17" t="s">
        <v>214</v>
      </c>
      <c r="C47" s="42">
        <f>AVERAGE(C2:C43)</f>
        <v>3</v>
      </c>
      <c r="D47" s="43">
        <f t="shared" ref="D47:V47" si="5">AVERAGE(D2:D43)</f>
        <v>2.8095238095238093</v>
      </c>
      <c r="E47" s="43">
        <f t="shared" si="5"/>
        <v>2.9761904761904763</v>
      </c>
      <c r="F47" s="43">
        <f t="shared" si="5"/>
        <v>2.6190476190476191</v>
      </c>
      <c r="G47" s="43">
        <f t="shared" si="5"/>
        <v>2.6904761904761907</v>
      </c>
      <c r="H47" s="43">
        <f t="shared" si="5"/>
        <v>3</v>
      </c>
      <c r="I47" s="43">
        <f t="shared" si="5"/>
        <v>2.8095238095238093</v>
      </c>
      <c r="J47" s="43">
        <f t="shared" si="5"/>
        <v>2.5476190476190474</v>
      </c>
      <c r="K47" s="43">
        <f t="shared" si="5"/>
        <v>2.7380952380952381</v>
      </c>
      <c r="L47" s="43">
        <f t="shared" si="5"/>
        <v>2.7619047619047619</v>
      </c>
      <c r="M47" s="43">
        <f t="shared" si="5"/>
        <v>2.9047619047619047</v>
      </c>
      <c r="N47" s="43">
        <f t="shared" si="5"/>
        <v>2.7380952380952381</v>
      </c>
      <c r="O47" s="43">
        <f t="shared" si="5"/>
        <v>2.6190476190476191</v>
      </c>
      <c r="P47" s="43">
        <f t="shared" si="5"/>
        <v>3.0238095238095237</v>
      </c>
      <c r="Q47" s="43">
        <f t="shared" si="5"/>
        <v>2.8571428571428572</v>
      </c>
      <c r="R47" s="43">
        <f t="shared" si="5"/>
        <v>2.8809523809523809</v>
      </c>
      <c r="S47" s="43">
        <f t="shared" si="5"/>
        <v>2.8333333333333335</v>
      </c>
      <c r="T47" s="43">
        <f t="shared" si="5"/>
        <v>2.7380952380952381</v>
      </c>
      <c r="U47" s="43">
        <f t="shared" si="5"/>
        <v>2.6666666666666665</v>
      </c>
      <c r="V47" s="42">
        <f t="shared" si="5"/>
        <v>2.5</v>
      </c>
      <c r="W47" s="42"/>
      <c r="X47" s="42"/>
      <c r="Y47" s="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3781B-A340-43C6-9D94-A7234AC62DC6}">
  <dimension ref="A1:G43"/>
  <sheetViews>
    <sheetView workbookViewId="0">
      <selection activeCell="F2" sqref="F2"/>
    </sheetView>
  </sheetViews>
  <sheetFormatPr defaultRowHeight="14.5" x14ac:dyDescent="0.35"/>
  <cols>
    <col min="2" max="2" width="29.26953125" customWidth="1"/>
  </cols>
  <sheetData>
    <row r="1" spans="1:7" ht="15.5" x14ac:dyDescent="0.35">
      <c r="A1" s="18" t="s">
        <v>48</v>
      </c>
      <c r="B1" s="18" t="s">
        <v>47</v>
      </c>
      <c r="C1" s="18" t="s">
        <v>59</v>
      </c>
      <c r="D1" s="18" t="s">
        <v>42</v>
      </c>
      <c r="E1" s="18" t="s">
        <v>43</v>
      </c>
      <c r="F1" s="18" t="s">
        <v>174</v>
      </c>
      <c r="G1" s="18" t="s">
        <v>179</v>
      </c>
    </row>
    <row r="2" spans="1:7" ht="15.5" x14ac:dyDescent="0.35">
      <c r="A2" s="19">
        <v>1</v>
      </c>
      <c r="B2" s="20" t="s">
        <v>0</v>
      </c>
      <c r="C2" s="19">
        <v>15</v>
      </c>
      <c r="D2" s="19">
        <v>20</v>
      </c>
      <c r="E2" s="19">
        <v>15</v>
      </c>
      <c r="F2" s="19">
        <f>SUM(C2:E2)</f>
        <v>50</v>
      </c>
      <c r="G2" s="21"/>
    </row>
    <row r="3" spans="1:7" ht="15.5" x14ac:dyDescent="0.35">
      <c r="A3" s="19">
        <v>2</v>
      </c>
      <c r="B3" s="20" t="s">
        <v>1</v>
      </c>
      <c r="C3" s="19">
        <v>20</v>
      </c>
      <c r="D3" s="19">
        <v>15</v>
      </c>
      <c r="E3" s="19">
        <v>20</v>
      </c>
      <c r="F3" s="19">
        <f t="shared" ref="F3:F43" si="0">SUM(C3:E3)</f>
        <v>55</v>
      </c>
      <c r="G3" s="21"/>
    </row>
    <row r="4" spans="1:7" ht="15.5" x14ac:dyDescent="0.35">
      <c r="A4" s="19">
        <v>3</v>
      </c>
      <c r="B4" s="20" t="s">
        <v>46</v>
      </c>
      <c r="C4" s="19">
        <v>20</v>
      </c>
      <c r="D4" s="19">
        <v>15</v>
      </c>
      <c r="E4" s="19">
        <v>15</v>
      </c>
      <c r="F4" s="19">
        <f t="shared" si="0"/>
        <v>50</v>
      </c>
      <c r="G4" s="21"/>
    </row>
    <row r="5" spans="1:7" ht="15.5" x14ac:dyDescent="0.35">
      <c r="A5" s="19">
        <v>4</v>
      </c>
      <c r="B5" s="20" t="s">
        <v>2</v>
      </c>
      <c r="C5" s="19">
        <v>15</v>
      </c>
      <c r="D5" s="19">
        <v>20</v>
      </c>
      <c r="E5" s="19">
        <v>15</v>
      </c>
      <c r="F5" s="19">
        <f t="shared" si="0"/>
        <v>50</v>
      </c>
      <c r="G5" s="21"/>
    </row>
    <row r="6" spans="1:7" ht="15.5" x14ac:dyDescent="0.35">
      <c r="A6" s="19">
        <v>5</v>
      </c>
      <c r="B6" s="20" t="s">
        <v>3</v>
      </c>
      <c r="C6" s="19">
        <v>20</v>
      </c>
      <c r="D6" s="19">
        <v>20</v>
      </c>
      <c r="E6" s="19">
        <v>15</v>
      </c>
      <c r="F6" s="19">
        <f t="shared" si="0"/>
        <v>55</v>
      </c>
      <c r="G6" s="21"/>
    </row>
    <row r="7" spans="1:7" ht="15.5" x14ac:dyDescent="0.35">
      <c r="A7" s="19">
        <v>6</v>
      </c>
      <c r="B7" s="20" t="s">
        <v>4</v>
      </c>
      <c r="C7" s="19">
        <v>15</v>
      </c>
      <c r="D7" s="19">
        <v>20</v>
      </c>
      <c r="E7" s="19">
        <v>15</v>
      </c>
      <c r="F7" s="19">
        <f>SUM(C7:E7)</f>
        <v>50</v>
      </c>
      <c r="G7" s="21"/>
    </row>
    <row r="8" spans="1:7" ht="15.5" x14ac:dyDescent="0.35">
      <c r="A8" s="19">
        <v>7</v>
      </c>
      <c r="B8" s="20" t="s">
        <v>5</v>
      </c>
      <c r="C8" s="19">
        <v>15</v>
      </c>
      <c r="D8" s="19">
        <v>20</v>
      </c>
      <c r="E8" s="19">
        <v>20</v>
      </c>
      <c r="F8" s="19">
        <f t="shared" si="0"/>
        <v>55</v>
      </c>
      <c r="G8" s="21"/>
    </row>
    <row r="9" spans="1:7" ht="15.5" x14ac:dyDescent="0.35">
      <c r="A9" s="19">
        <v>8</v>
      </c>
      <c r="B9" s="20" t="s">
        <v>6</v>
      </c>
      <c r="C9" s="19">
        <v>15</v>
      </c>
      <c r="D9" s="19">
        <v>20</v>
      </c>
      <c r="E9" s="19">
        <v>20</v>
      </c>
      <c r="F9" s="19">
        <f t="shared" si="0"/>
        <v>55</v>
      </c>
      <c r="G9" s="21"/>
    </row>
    <row r="10" spans="1:7" ht="15.5" x14ac:dyDescent="0.35">
      <c r="A10" s="19">
        <v>9</v>
      </c>
      <c r="B10" s="20" t="s">
        <v>7</v>
      </c>
      <c r="C10" s="19">
        <v>20</v>
      </c>
      <c r="D10" s="19">
        <v>20</v>
      </c>
      <c r="E10" s="19">
        <v>15</v>
      </c>
      <c r="F10" s="19">
        <f t="shared" si="0"/>
        <v>55</v>
      </c>
      <c r="G10" s="21"/>
    </row>
    <row r="11" spans="1:7" ht="15.5" x14ac:dyDescent="0.35">
      <c r="A11" s="19">
        <v>10</v>
      </c>
      <c r="B11" s="20" t="s">
        <v>8</v>
      </c>
      <c r="C11" s="19">
        <v>15</v>
      </c>
      <c r="D11" s="19">
        <v>20</v>
      </c>
      <c r="E11" s="19">
        <v>15</v>
      </c>
      <c r="F11" s="19">
        <f t="shared" si="0"/>
        <v>50</v>
      </c>
      <c r="G11" s="21"/>
    </row>
    <row r="12" spans="1:7" ht="15.5" x14ac:dyDescent="0.35">
      <c r="A12" s="19">
        <v>11</v>
      </c>
      <c r="B12" s="20" t="s">
        <v>9</v>
      </c>
      <c r="C12" s="19">
        <v>15</v>
      </c>
      <c r="D12" s="19">
        <v>20</v>
      </c>
      <c r="E12" s="19">
        <v>15</v>
      </c>
      <c r="F12" s="19">
        <f t="shared" si="0"/>
        <v>50</v>
      </c>
      <c r="G12" s="21"/>
    </row>
    <row r="13" spans="1:7" ht="15.5" x14ac:dyDescent="0.35">
      <c r="A13" s="19">
        <v>12</v>
      </c>
      <c r="B13" s="20" t="s">
        <v>10</v>
      </c>
      <c r="C13" s="19">
        <v>20</v>
      </c>
      <c r="D13" s="19">
        <v>20</v>
      </c>
      <c r="E13" s="19">
        <v>20</v>
      </c>
      <c r="F13" s="19">
        <f t="shared" si="0"/>
        <v>60</v>
      </c>
      <c r="G13" s="21"/>
    </row>
    <row r="14" spans="1:7" ht="15.5" x14ac:dyDescent="0.35">
      <c r="A14" s="19">
        <v>13</v>
      </c>
      <c r="B14" s="20" t="s">
        <v>11</v>
      </c>
      <c r="C14" s="19">
        <v>20</v>
      </c>
      <c r="D14" s="19">
        <v>15</v>
      </c>
      <c r="E14" s="19">
        <v>15</v>
      </c>
      <c r="F14" s="19">
        <f t="shared" si="0"/>
        <v>50</v>
      </c>
      <c r="G14" s="21"/>
    </row>
    <row r="15" spans="1:7" ht="15.5" x14ac:dyDescent="0.35">
      <c r="A15" s="19">
        <v>14</v>
      </c>
      <c r="B15" s="20" t="s">
        <v>12</v>
      </c>
      <c r="C15" s="19">
        <v>20</v>
      </c>
      <c r="D15" s="19">
        <v>15</v>
      </c>
      <c r="E15" s="19">
        <v>0</v>
      </c>
      <c r="F15" s="19">
        <f t="shared" si="0"/>
        <v>35</v>
      </c>
      <c r="G15" s="21"/>
    </row>
    <row r="16" spans="1:7" ht="15.5" x14ac:dyDescent="0.35">
      <c r="A16" s="19">
        <v>15</v>
      </c>
      <c r="B16" s="20" t="s">
        <v>13</v>
      </c>
      <c r="C16" s="19">
        <v>20</v>
      </c>
      <c r="D16" s="19">
        <v>20</v>
      </c>
      <c r="E16" s="19">
        <v>15</v>
      </c>
      <c r="F16" s="19">
        <f t="shared" si="0"/>
        <v>55</v>
      </c>
      <c r="G16" s="21"/>
    </row>
    <row r="17" spans="1:7" ht="15.5" x14ac:dyDescent="0.35">
      <c r="A17" s="19">
        <v>16</v>
      </c>
      <c r="B17" s="20" t="s">
        <v>14</v>
      </c>
      <c r="C17" s="19">
        <v>20</v>
      </c>
      <c r="D17" s="19">
        <v>15</v>
      </c>
      <c r="E17" s="19">
        <v>15</v>
      </c>
      <c r="F17" s="19">
        <f t="shared" si="0"/>
        <v>50</v>
      </c>
      <c r="G17" s="21"/>
    </row>
    <row r="18" spans="1:7" ht="15.5" x14ac:dyDescent="0.35">
      <c r="A18" s="19">
        <v>17</v>
      </c>
      <c r="B18" s="20" t="s">
        <v>15</v>
      </c>
      <c r="C18" s="19">
        <v>20</v>
      </c>
      <c r="D18" s="19">
        <v>20</v>
      </c>
      <c r="E18" s="19">
        <v>15</v>
      </c>
      <c r="F18" s="19">
        <f t="shared" si="0"/>
        <v>55</v>
      </c>
      <c r="G18" s="21"/>
    </row>
    <row r="19" spans="1:7" ht="15.5" x14ac:dyDescent="0.35">
      <c r="A19" s="19">
        <v>18</v>
      </c>
      <c r="B19" s="20" t="s">
        <v>16</v>
      </c>
      <c r="C19" s="19">
        <v>20</v>
      </c>
      <c r="D19" s="19">
        <v>15</v>
      </c>
      <c r="E19" s="19">
        <v>20</v>
      </c>
      <c r="F19" s="19">
        <f t="shared" si="0"/>
        <v>55</v>
      </c>
      <c r="G19" s="21"/>
    </row>
    <row r="20" spans="1:7" ht="15.5" x14ac:dyDescent="0.35">
      <c r="A20" s="19">
        <v>19</v>
      </c>
      <c r="B20" s="20" t="s">
        <v>17</v>
      </c>
      <c r="C20" s="19">
        <v>20</v>
      </c>
      <c r="D20" s="19">
        <v>15</v>
      </c>
      <c r="E20" s="19">
        <v>15</v>
      </c>
      <c r="F20" s="19">
        <f t="shared" si="0"/>
        <v>50</v>
      </c>
      <c r="G20" s="21"/>
    </row>
    <row r="21" spans="1:7" ht="15.5" x14ac:dyDescent="0.35">
      <c r="A21" s="19">
        <v>20</v>
      </c>
      <c r="B21" s="20" t="s">
        <v>18</v>
      </c>
      <c r="C21" s="19">
        <v>20</v>
      </c>
      <c r="D21" s="19">
        <v>15</v>
      </c>
      <c r="E21" s="19">
        <v>15</v>
      </c>
      <c r="F21" s="19">
        <f t="shared" si="0"/>
        <v>50</v>
      </c>
      <c r="G21" s="21"/>
    </row>
    <row r="22" spans="1:7" ht="15.5" x14ac:dyDescent="0.35">
      <c r="A22" s="19">
        <v>21</v>
      </c>
      <c r="B22" s="20" t="s">
        <v>19</v>
      </c>
      <c r="C22" s="19">
        <v>20</v>
      </c>
      <c r="D22" s="19">
        <v>15</v>
      </c>
      <c r="E22" s="19">
        <v>15</v>
      </c>
      <c r="F22" s="19">
        <f t="shared" si="0"/>
        <v>50</v>
      </c>
      <c r="G22" s="21"/>
    </row>
    <row r="23" spans="1:7" ht="15.5" x14ac:dyDescent="0.35">
      <c r="A23" s="19">
        <v>22</v>
      </c>
      <c r="B23" s="20" t="s">
        <v>20</v>
      </c>
      <c r="C23" s="19">
        <v>20</v>
      </c>
      <c r="D23" s="19">
        <v>15</v>
      </c>
      <c r="E23" s="19">
        <v>15</v>
      </c>
      <c r="F23" s="19">
        <f t="shared" si="0"/>
        <v>50</v>
      </c>
      <c r="G23" s="21"/>
    </row>
    <row r="24" spans="1:7" ht="15.5" x14ac:dyDescent="0.35">
      <c r="A24" s="19">
        <v>23</v>
      </c>
      <c r="B24" s="20" t="s">
        <v>21</v>
      </c>
      <c r="C24" s="19">
        <v>20</v>
      </c>
      <c r="D24" s="19">
        <v>0</v>
      </c>
      <c r="E24" s="19">
        <v>0</v>
      </c>
      <c r="F24" s="19">
        <f t="shared" si="0"/>
        <v>20</v>
      </c>
      <c r="G24" s="21"/>
    </row>
    <row r="25" spans="1:7" ht="15.5" x14ac:dyDescent="0.35">
      <c r="A25" s="19">
        <v>24</v>
      </c>
      <c r="B25" s="20" t="s">
        <v>22</v>
      </c>
      <c r="C25" s="19">
        <v>15</v>
      </c>
      <c r="D25" s="19">
        <v>15</v>
      </c>
      <c r="E25" s="19">
        <v>15</v>
      </c>
      <c r="F25" s="19">
        <f t="shared" si="0"/>
        <v>45</v>
      </c>
      <c r="G25" s="21"/>
    </row>
    <row r="26" spans="1:7" ht="15.5" x14ac:dyDescent="0.35">
      <c r="A26" s="19">
        <v>25</v>
      </c>
      <c r="B26" s="20" t="s">
        <v>23</v>
      </c>
      <c r="C26" s="19">
        <v>20</v>
      </c>
      <c r="D26" s="19">
        <v>15</v>
      </c>
      <c r="E26" s="19">
        <v>15</v>
      </c>
      <c r="F26" s="19">
        <f t="shared" si="0"/>
        <v>50</v>
      </c>
      <c r="G26" s="21"/>
    </row>
    <row r="27" spans="1:7" ht="15.5" x14ac:dyDescent="0.35">
      <c r="A27" s="19">
        <v>26</v>
      </c>
      <c r="B27" s="20" t="s">
        <v>24</v>
      </c>
      <c r="C27" s="19">
        <v>15</v>
      </c>
      <c r="D27" s="19">
        <v>15</v>
      </c>
      <c r="E27" s="19">
        <v>15</v>
      </c>
      <c r="F27" s="19">
        <f t="shared" si="0"/>
        <v>45</v>
      </c>
      <c r="G27" s="21"/>
    </row>
    <row r="28" spans="1:7" ht="15.5" x14ac:dyDescent="0.35">
      <c r="A28" s="19">
        <v>27</v>
      </c>
      <c r="B28" s="20" t="s">
        <v>25</v>
      </c>
      <c r="C28" s="19">
        <v>15</v>
      </c>
      <c r="D28" s="19">
        <v>20</v>
      </c>
      <c r="E28" s="19">
        <v>15</v>
      </c>
      <c r="F28" s="19">
        <f t="shared" si="0"/>
        <v>50</v>
      </c>
      <c r="G28" s="21"/>
    </row>
    <row r="29" spans="1:7" ht="15.5" x14ac:dyDescent="0.35">
      <c r="A29" s="19">
        <v>28</v>
      </c>
      <c r="B29" s="20" t="s">
        <v>26</v>
      </c>
      <c r="C29" s="19">
        <v>15</v>
      </c>
      <c r="D29" s="19">
        <v>15</v>
      </c>
      <c r="E29" s="19">
        <v>15</v>
      </c>
      <c r="F29" s="19">
        <f t="shared" si="0"/>
        <v>45</v>
      </c>
      <c r="G29" s="21"/>
    </row>
    <row r="30" spans="1:7" ht="15.5" x14ac:dyDescent="0.35">
      <c r="A30" s="19">
        <v>29</v>
      </c>
      <c r="B30" s="20" t="s">
        <v>27</v>
      </c>
      <c r="C30" s="19">
        <v>20</v>
      </c>
      <c r="D30" s="19">
        <v>15</v>
      </c>
      <c r="E30" s="19">
        <v>15</v>
      </c>
      <c r="F30" s="19">
        <f t="shared" si="0"/>
        <v>50</v>
      </c>
      <c r="G30" s="21"/>
    </row>
    <row r="31" spans="1:7" ht="15.5" x14ac:dyDescent="0.35">
      <c r="A31" s="19">
        <v>30</v>
      </c>
      <c r="B31" s="20" t="s">
        <v>28</v>
      </c>
      <c r="C31" s="19">
        <v>20</v>
      </c>
      <c r="D31" s="19">
        <v>15</v>
      </c>
      <c r="E31" s="19">
        <v>15</v>
      </c>
      <c r="F31" s="19">
        <f t="shared" si="0"/>
        <v>50</v>
      </c>
      <c r="G31" s="21"/>
    </row>
    <row r="32" spans="1:7" ht="15.5" x14ac:dyDescent="0.35">
      <c r="A32" s="19">
        <v>31</v>
      </c>
      <c r="B32" s="20" t="s">
        <v>29</v>
      </c>
      <c r="C32" s="19">
        <v>20</v>
      </c>
      <c r="D32" s="19">
        <v>15</v>
      </c>
      <c r="E32" s="19">
        <v>15</v>
      </c>
      <c r="F32" s="19">
        <f t="shared" si="0"/>
        <v>50</v>
      </c>
      <c r="G32" s="21"/>
    </row>
    <row r="33" spans="1:7" ht="15.5" x14ac:dyDescent="0.35">
      <c r="A33" s="19">
        <v>32</v>
      </c>
      <c r="B33" s="20" t="s">
        <v>30</v>
      </c>
      <c r="C33" s="19">
        <v>20</v>
      </c>
      <c r="D33" s="19">
        <v>15</v>
      </c>
      <c r="E33" s="19">
        <v>15</v>
      </c>
      <c r="F33" s="19">
        <f t="shared" si="0"/>
        <v>50</v>
      </c>
      <c r="G33" s="21"/>
    </row>
    <row r="34" spans="1:7" ht="15.5" x14ac:dyDescent="0.35">
      <c r="A34" s="19">
        <v>33</v>
      </c>
      <c r="B34" s="20" t="s">
        <v>31</v>
      </c>
      <c r="C34" s="19">
        <v>20</v>
      </c>
      <c r="D34" s="19">
        <v>15</v>
      </c>
      <c r="E34" s="19">
        <v>20</v>
      </c>
      <c r="F34" s="19">
        <f t="shared" si="0"/>
        <v>55</v>
      </c>
      <c r="G34" s="21"/>
    </row>
    <row r="35" spans="1:7" ht="15.5" x14ac:dyDescent="0.35">
      <c r="A35" s="19">
        <v>34</v>
      </c>
      <c r="B35" s="20" t="s">
        <v>32</v>
      </c>
      <c r="C35" s="19">
        <v>20</v>
      </c>
      <c r="D35" s="19">
        <v>15</v>
      </c>
      <c r="E35" s="19">
        <v>15</v>
      </c>
      <c r="F35" s="19">
        <f t="shared" si="0"/>
        <v>50</v>
      </c>
      <c r="G35" s="21"/>
    </row>
    <row r="36" spans="1:7" ht="15.5" x14ac:dyDescent="0.35">
      <c r="A36" s="19">
        <v>35</v>
      </c>
      <c r="B36" s="20" t="s">
        <v>33</v>
      </c>
      <c r="C36" s="19">
        <v>15</v>
      </c>
      <c r="D36" s="19">
        <v>15</v>
      </c>
      <c r="E36" s="19">
        <v>15</v>
      </c>
      <c r="F36" s="19">
        <f t="shared" si="0"/>
        <v>45</v>
      </c>
      <c r="G36" s="21"/>
    </row>
    <row r="37" spans="1:7" ht="15.5" x14ac:dyDescent="0.35">
      <c r="A37" s="19">
        <v>36</v>
      </c>
      <c r="B37" s="20" t="s">
        <v>34</v>
      </c>
      <c r="C37" s="19">
        <v>15</v>
      </c>
      <c r="D37" s="19">
        <v>15</v>
      </c>
      <c r="E37" s="19">
        <v>15</v>
      </c>
      <c r="F37" s="19">
        <f t="shared" si="0"/>
        <v>45</v>
      </c>
      <c r="G37" s="21"/>
    </row>
    <row r="38" spans="1:7" ht="15.5" x14ac:dyDescent="0.35">
      <c r="A38" s="19">
        <v>37</v>
      </c>
      <c r="B38" s="20" t="s">
        <v>35</v>
      </c>
      <c r="C38" s="19">
        <v>20</v>
      </c>
      <c r="D38" s="19">
        <v>20</v>
      </c>
      <c r="E38" s="19">
        <v>15</v>
      </c>
      <c r="F38" s="19">
        <f t="shared" si="0"/>
        <v>55</v>
      </c>
      <c r="G38" s="21"/>
    </row>
    <row r="39" spans="1:7" ht="15.5" x14ac:dyDescent="0.35">
      <c r="A39" s="19">
        <v>38</v>
      </c>
      <c r="B39" s="20" t="s">
        <v>36</v>
      </c>
      <c r="C39" s="19">
        <v>20</v>
      </c>
      <c r="D39" s="19">
        <v>15</v>
      </c>
      <c r="E39" s="19">
        <v>15</v>
      </c>
      <c r="F39" s="19">
        <f t="shared" si="0"/>
        <v>50</v>
      </c>
      <c r="G39" s="21"/>
    </row>
    <row r="40" spans="1:7" ht="15.5" x14ac:dyDescent="0.35">
      <c r="A40" s="19">
        <v>39</v>
      </c>
      <c r="B40" s="20" t="s">
        <v>37</v>
      </c>
      <c r="C40" s="19">
        <v>20</v>
      </c>
      <c r="D40" s="19">
        <v>15</v>
      </c>
      <c r="E40" s="19">
        <v>15</v>
      </c>
      <c r="F40" s="19">
        <f t="shared" si="0"/>
        <v>50</v>
      </c>
      <c r="G40" s="21"/>
    </row>
    <row r="41" spans="1:7" ht="15.5" x14ac:dyDescent="0.35">
      <c r="A41" s="19">
        <v>40</v>
      </c>
      <c r="B41" s="20" t="s">
        <v>38</v>
      </c>
      <c r="C41" s="19">
        <v>20</v>
      </c>
      <c r="D41" s="19">
        <v>20</v>
      </c>
      <c r="E41" s="19">
        <v>15</v>
      </c>
      <c r="F41" s="19">
        <f t="shared" si="0"/>
        <v>55</v>
      </c>
      <c r="G41" s="21"/>
    </row>
    <row r="42" spans="1:7" ht="15.5" x14ac:dyDescent="0.35">
      <c r="A42" s="19">
        <v>41</v>
      </c>
      <c r="B42" s="20" t="s">
        <v>39</v>
      </c>
      <c r="C42" s="19">
        <v>15</v>
      </c>
      <c r="D42" s="19">
        <v>15</v>
      </c>
      <c r="E42" s="19">
        <v>15</v>
      </c>
      <c r="F42" s="19">
        <f t="shared" si="0"/>
        <v>45</v>
      </c>
      <c r="G42" s="21"/>
    </row>
    <row r="43" spans="1:7" ht="15.5" x14ac:dyDescent="0.35">
      <c r="A43" s="19">
        <v>42</v>
      </c>
      <c r="B43" s="20" t="s">
        <v>40</v>
      </c>
      <c r="C43" s="19">
        <v>15</v>
      </c>
      <c r="D43" s="19">
        <v>15</v>
      </c>
      <c r="E43" s="19">
        <v>15</v>
      </c>
      <c r="F43" s="19">
        <f t="shared" si="0"/>
        <v>45</v>
      </c>
      <c r="G43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A890-529E-4913-A836-171DE7269BCE}">
  <dimension ref="A1:G43"/>
  <sheetViews>
    <sheetView workbookViewId="0">
      <selection activeCell="M12" sqref="M12"/>
    </sheetView>
  </sheetViews>
  <sheetFormatPr defaultRowHeight="14.5" x14ac:dyDescent="0.35"/>
  <cols>
    <col min="2" max="2" width="24.1796875" customWidth="1"/>
  </cols>
  <sheetData>
    <row r="1" spans="1:7" ht="15.5" x14ac:dyDescent="0.35">
      <c r="A1" s="25" t="s">
        <v>48</v>
      </c>
      <c r="B1" s="25" t="s">
        <v>47</v>
      </c>
      <c r="C1" s="25" t="s">
        <v>59</v>
      </c>
      <c r="D1" s="25" t="s">
        <v>42</v>
      </c>
      <c r="E1" s="25" t="s">
        <v>43</v>
      </c>
      <c r="F1" s="25" t="s">
        <v>174</v>
      </c>
      <c r="G1" s="25" t="s">
        <v>49</v>
      </c>
    </row>
    <row r="2" spans="1:7" ht="15.5" x14ac:dyDescent="0.35">
      <c r="A2" s="22">
        <v>1</v>
      </c>
      <c r="B2" s="23" t="s">
        <v>0</v>
      </c>
      <c r="C2" s="22">
        <v>20</v>
      </c>
      <c r="D2" s="22">
        <v>20</v>
      </c>
      <c r="E2" s="22">
        <v>20</v>
      </c>
      <c r="F2" s="22">
        <f>SUM(C2:E2)</f>
        <v>60</v>
      </c>
      <c r="G2" s="24"/>
    </row>
    <row r="3" spans="1:7" ht="15.5" x14ac:dyDescent="0.35">
      <c r="A3" s="22">
        <v>2</v>
      </c>
      <c r="B3" s="23" t="s">
        <v>1</v>
      </c>
      <c r="C3" s="22">
        <v>20</v>
      </c>
      <c r="D3" s="22">
        <v>20</v>
      </c>
      <c r="E3" s="22">
        <v>0</v>
      </c>
      <c r="F3" s="22">
        <f t="shared" ref="F3:F43" si="0">SUM(C3:E3)</f>
        <v>40</v>
      </c>
      <c r="G3" s="24"/>
    </row>
    <row r="4" spans="1:7" ht="15.5" x14ac:dyDescent="0.35">
      <c r="A4" s="22">
        <v>3</v>
      </c>
      <c r="B4" s="23" t="s">
        <v>46</v>
      </c>
      <c r="C4" s="22">
        <v>20</v>
      </c>
      <c r="D4" s="22">
        <v>20</v>
      </c>
      <c r="E4" s="22">
        <v>20</v>
      </c>
      <c r="F4" s="22">
        <f t="shared" si="0"/>
        <v>60</v>
      </c>
      <c r="G4" s="24"/>
    </row>
    <row r="5" spans="1:7" ht="15.5" x14ac:dyDescent="0.35">
      <c r="A5" s="22">
        <v>4</v>
      </c>
      <c r="B5" s="23" t="s">
        <v>2</v>
      </c>
      <c r="C5" s="22">
        <v>20</v>
      </c>
      <c r="D5" s="22">
        <v>20</v>
      </c>
      <c r="E5" s="22">
        <v>20</v>
      </c>
      <c r="F5" s="22">
        <f t="shared" si="0"/>
        <v>60</v>
      </c>
      <c r="G5" s="24"/>
    </row>
    <row r="6" spans="1:7" ht="15.5" x14ac:dyDescent="0.35">
      <c r="A6" s="22">
        <v>5</v>
      </c>
      <c r="B6" s="23" t="s">
        <v>3</v>
      </c>
      <c r="C6" s="22">
        <v>20</v>
      </c>
      <c r="D6" s="22">
        <v>20</v>
      </c>
      <c r="E6" s="22">
        <v>0</v>
      </c>
      <c r="F6" s="22">
        <f t="shared" si="0"/>
        <v>40</v>
      </c>
      <c r="G6" s="24"/>
    </row>
    <row r="7" spans="1:7" ht="15.5" x14ac:dyDescent="0.35">
      <c r="A7" s="22">
        <v>6</v>
      </c>
      <c r="B7" s="23" t="s">
        <v>4</v>
      </c>
      <c r="C7" s="22">
        <v>20</v>
      </c>
      <c r="D7" s="22">
        <v>20</v>
      </c>
      <c r="E7" s="22">
        <v>20</v>
      </c>
      <c r="F7" s="22">
        <f t="shared" si="0"/>
        <v>60</v>
      </c>
      <c r="G7" s="24"/>
    </row>
    <row r="8" spans="1:7" ht="15.5" x14ac:dyDescent="0.35">
      <c r="A8" s="22">
        <v>7</v>
      </c>
      <c r="B8" s="23" t="s">
        <v>5</v>
      </c>
      <c r="C8" s="22">
        <v>20</v>
      </c>
      <c r="D8" s="22">
        <v>20</v>
      </c>
      <c r="E8" s="22">
        <v>20</v>
      </c>
      <c r="F8" s="22">
        <f t="shared" si="0"/>
        <v>60</v>
      </c>
      <c r="G8" s="24"/>
    </row>
    <row r="9" spans="1:7" ht="15.5" x14ac:dyDescent="0.35">
      <c r="A9" s="22">
        <v>8</v>
      </c>
      <c r="B9" s="23" t="s">
        <v>6</v>
      </c>
      <c r="C9" s="22">
        <v>20</v>
      </c>
      <c r="D9" s="22">
        <v>20</v>
      </c>
      <c r="E9" s="22">
        <v>20</v>
      </c>
      <c r="F9" s="22">
        <f t="shared" si="0"/>
        <v>60</v>
      </c>
      <c r="G9" s="24"/>
    </row>
    <row r="10" spans="1:7" ht="15.5" x14ac:dyDescent="0.35">
      <c r="A10" s="22">
        <v>9</v>
      </c>
      <c r="B10" s="23" t="s">
        <v>7</v>
      </c>
      <c r="C10" s="22">
        <v>20</v>
      </c>
      <c r="D10" s="22">
        <v>20</v>
      </c>
      <c r="E10" s="22">
        <v>20</v>
      </c>
      <c r="F10" s="22">
        <f t="shared" si="0"/>
        <v>60</v>
      </c>
      <c r="G10" s="24"/>
    </row>
    <row r="11" spans="1:7" ht="15.5" x14ac:dyDescent="0.35">
      <c r="A11" s="22">
        <v>10</v>
      </c>
      <c r="B11" s="23" t="s">
        <v>8</v>
      </c>
      <c r="C11" s="22">
        <v>20</v>
      </c>
      <c r="D11" s="22">
        <v>20</v>
      </c>
      <c r="E11" s="22">
        <v>20</v>
      </c>
      <c r="F11" s="22">
        <f t="shared" si="0"/>
        <v>60</v>
      </c>
      <c r="G11" s="24"/>
    </row>
    <row r="12" spans="1:7" ht="15.5" x14ac:dyDescent="0.35">
      <c r="A12" s="22">
        <v>11</v>
      </c>
      <c r="B12" s="23" t="s">
        <v>9</v>
      </c>
      <c r="C12" s="22">
        <v>20</v>
      </c>
      <c r="D12" s="22">
        <v>20</v>
      </c>
      <c r="E12" s="22">
        <v>20</v>
      </c>
      <c r="F12" s="22">
        <f t="shared" si="0"/>
        <v>60</v>
      </c>
      <c r="G12" s="24"/>
    </row>
    <row r="13" spans="1:7" ht="15.5" x14ac:dyDescent="0.35">
      <c r="A13" s="22">
        <v>12</v>
      </c>
      <c r="B13" s="23" t="s">
        <v>10</v>
      </c>
      <c r="C13" s="22">
        <v>20</v>
      </c>
      <c r="D13" s="22">
        <v>20</v>
      </c>
      <c r="E13" s="22">
        <v>20</v>
      </c>
      <c r="F13" s="22">
        <f t="shared" si="0"/>
        <v>60</v>
      </c>
      <c r="G13" s="24"/>
    </row>
    <row r="14" spans="1:7" ht="15.5" x14ac:dyDescent="0.35">
      <c r="A14" s="22">
        <v>13</v>
      </c>
      <c r="B14" s="23" t="s">
        <v>11</v>
      </c>
      <c r="C14" s="22">
        <v>20</v>
      </c>
      <c r="D14" s="22">
        <v>0</v>
      </c>
      <c r="E14" s="22">
        <v>0</v>
      </c>
      <c r="F14" s="22">
        <f t="shared" si="0"/>
        <v>20</v>
      </c>
      <c r="G14" s="24"/>
    </row>
    <row r="15" spans="1:7" ht="15.5" x14ac:dyDescent="0.35">
      <c r="A15" s="22">
        <v>14</v>
      </c>
      <c r="B15" s="23" t="s">
        <v>12</v>
      </c>
      <c r="C15" s="22">
        <v>20</v>
      </c>
      <c r="D15" s="22">
        <v>0</v>
      </c>
      <c r="E15" s="22">
        <v>20</v>
      </c>
      <c r="F15" s="22">
        <f t="shared" si="0"/>
        <v>40</v>
      </c>
      <c r="G15" s="24"/>
    </row>
    <row r="16" spans="1:7" ht="15.5" x14ac:dyDescent="0.35">
      <c r="A16" s="22">
        <v>15</v>
      </c>
      <c r="B16" s="23" t="s">
        <v>13</v>
      </c>
      <c r="C16" s="22">
        <v>20</v>
      </c>
      <c r="D16" s="22">
        <v>20</v>
      </c>
      <c r="E16" s="22">
        <v>20</v>
      </c>
      <c r="F16" s="22">
        <f t="shared" si="0"/>
        <v>60</v>
      </c>
      <c r="G16" s="24"/>
    </row>
    <row r="17" spans="1:7" ht="15.5" x14ac:dyDescent="0.35">
      <c r="A17" s="22">
        <v>16</v>
      </c>
      <c r="B17" s="23" t="s">
        <v>14</v>
      </c>
      <c r="C17" s="22">
        <v>20</v>
      </c>
      <c r="D17" s="22">
        <v>20</v>
      </c>
      <c r="E17" s="22">
        <v>20</v>
      </c>
      <c r="F17" s="22">
        <f t="shared" si="0"/>
        <v>60</v>
      </c>
      <c r="G17" s="24"/>
    </row>
    <row r="18" spans="1:7" ht="15.5" x14ac:dyDescent="0.35">
      <c r="A18" s="22">
        <v>17</v>
      </c>
      <c r="B18" s="23" t="s">
        <v>15</v>
      </c>
      <c r="C18" s="22">
        <v>20</v>
      </c>
      <c r="D18" s="22">
        <v>20</v>
      </c>
      <c r="E18" s="22">
        <v>20</v>
      </c>
      <c r="F18" s="22">
        <f t="shared" si="0"/>
        <v>60</v>
      </c>
      <c r="G18" s="24"/>
    </row>
    <row r="19" spans="1:7" ht="15.5" x14ac:dyDescent="0.35">
      <c r="A19" s="22">
        <v>18</v>
      </c>
      <c r="B19" s="23" t="s">
        <v>16</v>
      </c>
      <c r="C19" s="22">
        <v>20</v>
      </c>
      <c r="D19" s="22">
        <v>20</v>
      </c>
      <c r="E19" s="22">
        <v>20</v>
      </c>
      <c r="F19" s="22">
        <f t="shared" si="0"/>
        <v>60</v>
      </c>
      <c r="G19" s="24"/>
    </row>
    <row r="20" spans="1:7" ht="15.5" x14ac:dyDescent="0.35">
      <c r="A20" s="22">
        <v>19</v>
      </c>
      <c r="B20" s="23" t="s">
        <v>17</v>
      </c>
      <c r="C20" s="22">
        <v>20</v>
      </c>
      <c r="D20" s="22">
        <v>20</v>
      </c>
      <c r="E20" s="22">
        <v>20</v>
      </c>
      <c r="F20" s="22">
        <f t="shared" si="0"/>
        <v>60</v>
      </c>
      <c r="G20" s="24"/>
    </row>
    <row r="21" spans="1:7" ht="15.5" x14ac:dyDescent="0.35">
      <c r="A21" s="22">
        <v>20</v>
      </c>
      <c r="B21" s="23" t="s">
        <v>18</v>
      </c>
      <c r="C21" s="22">
        <v>20</v>
      </c>
      <c r="D21" s="22">
        <v>20</v>
      </c>
      <c r="E21" s="22">
        <v>20</v>
      </c>
      <c r="F21" s="22">
        <f t="shared" si="0"/>
        <v>60</v>
      </c>
      <c r="G21" s="24"/>
    </row>
    <row r="22" spans="1:7" ht="15.5" x14ac:dyDescent="0.35">
      <c r="A22" s="22">
        <v>21</v>
      </c>
      <c r="B22" s="23" t="s">
        <v>19</v>
      </c>
      <c r="C22" s="22">
        <v>20</v>
      </c>
      <c r="D22" s="22">
        <v>20</v>
      </c>
      <c r="E22" s="22">
        <v>0</v>
      </c>
      <c r="F22" s="22">
        <f t="shared" si="0"/>
        <v>40</v>
      </c>
      <c r="G22" s="24"/>
    </row>
    <row r="23" spans="1:7" ht="15.5" x14ac:dyDescent="0.35">
      <c r="A23" s="22">
        <v>22</v>
      </c>
      <c r="B23" s="23" t="s">
        <v>20</v>
      </c>
      <c r="C23" s="22">
        <v>20</v>
      </c>
      <c r="D23" s="22">
        <v>20</v>
      </c>
      <c r="E23" s="22">
        <v>20</v>
      </c>
      <c r="F23" s="22">
        <f t="shared" si="0"/>
        <v>60</v>
      </c>
      <c r="G23" s="24"/>
    </row>
    <row r="24" spans="1:7" ht="15.5" x14ac:dyDescent="0.35">
      <c r="A24" s="22">
        <v>23</v>
      </c>
      <c r="B24" s="23" t="s">
        <v>21</v>
      </c>
      <c r="C24" s="22">
        <v>20</v>
      </c>
      <c r="D24" s="22">
        <v>15</v>
      </c>
      <c r="E24" s="22">
        <v>20</v>
      </c>
      <c r="F24" s="22">
        <f t="shared" si="0"/>
        <v>55</v>
      </c>
      <c r="G24" s="24"/>
    </row>
    <row r="25" spans="1:7" ht="15.5" x14ac:dyDescent="0.35">
      <c r="A25" s="22">
        <v>24</v>
      </c>
      <c r="B25" s="23" t="s">
        <v>22</v>
      </c>
      <c r="C25" s="22">
        <v>20</v>
      </c>
      <c r="D25" s="22">
        <v>20</v>
      </c>
      <c r="E25" s="22">
        <v>20</v>
      </c>
      <c r="F25" s="22">
        <f t="shared" si="0"/>
        <v>60</v>
      </c>
      <c r="G25" s="24"/>
    </row>
    <row r="26" spans="1:7" ht="15.5" x14ac:dyDescent="0.35">
      <c r="A26" s="22">
        <v>25</v>
      </c>
      <c r="B26" s="23" t="s">
        <v>23</v>
      </c>
      <c r="C26" s="22">
        <v>20</v>
      </c>
      <c r="D26" s="22">
        <v>20</v>
      </c>
      <c r="E26" s="22">
        <v>20</v>
      </c>
      <c r="F26" s="22">
        <f t="shared" si="0"/>
        <v>60</v>
      </c>
      <c r="G26" s="24"/>
    </row>
    <row r="27" spans="1:7" ht="15.5" x14ac:dyDescent="0.35">
      <c r="A27" s="22">
        <v>26</v>
      </c>
      <c r="B27" s="23" t="s">
        <v>24</v>
      </c>
      <c r="C27" s="22">
        <v>20</v>
      </c>
      <c r="D27" s="22">
        <v>15</v>
      </c>
      <c r="E27" s="22">
        <v>20</v>
      </c>
      <c r="F27" s="22">
        <f t="shared" si="0"/>
        <v>55</v>
      </c>
      <c r="G27" s="24"/>
    </row>
    <row r="28" spans="1:7" ht="15.5" x14ac:dyDescent="0.35">
      <c r="A28" s="22">
        <v>27</v>
      </c>
      <c r="B28" s="23" t="s">
        <v>25</v>
      </c>
      <c r="C28" s="22">
        <v>20</v>
      </c>
      <c r="D28" s="22">
        <v>20</v>
      </c>
      <c r="E28" s="22">
        <v>20</v>
      </c>
      <c r="F28" s="22">
        <f t="shared" si="0"/>
        <v>60</v>
      </c>
      <c r="G28" s="24"/>
    </row>
    <row r="29" spans="1:7" ht="15.5" x14ac:dyDescent="0.35">
      <c r="A29" s="22">
        <v>28</v>
      </c>
      <c r="B29" s="23" t="s">
        <v>26</v>
      </c>
      <c r="C29" s="22">
        <v>20</v>
      </c>
      <c r="D29" s="22">
        <v>20</v>
      </c>
      <c r="E29" s="22">
        <v>20</v>
      </c>
      <c r="F29" s="22">
        <f t="shared" si="0"/>
        <v>60</v>
      </c>
      <c r="G29" s="24"/>
    </row>
    <row r="30" spans="1:7" ht="15.5" x14ac:dyDescent="0.35">
      <c r="A30" s="22">
        <v>29</v>
      </c>
      <c r="B30" s="23" t="s">
        <v>27</v>
      </c>
      <c r="C30" s="22">
        <v>20</v>
      </c>
      <c r="D30" s="22">
        <v>20</v>
      </c>
      <c r="E30" s="22">
        <v>20</v>
      </c>
      <c r="F30" s="22">
        <f t="shared" si="0"/>
        <v>60</v>
      </c>
      <c r="G30" s="24"/>
    </row>
    <row r="31" spans="1:7" ht="15.5" x14ac:dyDescent="0.35">
      <c r="A31" s="22">
        <v>30</v>
      </c>
      <c r="B31" s="23" t="s">
        <v>28</v>
      </c>
      <c r="C31" s="22">
        <v>20</v>
      </c>
      <c r="D31" s="22">
        <v>0</v>
      </c>
      <c r="E31" s="22">
        <v>20</v>
      </c>
      <c r="F31" s="22">
        <f t="shared" si="0"/>
        <v>40</v>
      </c>
      <c r="G31" s="24"/>
    </row>
    <row r="32" spans="1:7" ht="15.5" x14ac:dyDescent="0.35">
      <c r="A32" s="22">
        <v>31</v>
      </c>
      <c r="B32" s="23" t="s">
        <v>29</v>
      </c>
      <c r="C32" s="22">
        <v>20</v>
      </c>
      <c r="D32" s="22">
        <v>20</v>
      </c>
      <c r="E32" s="22">
        <v>20</v>
      </c>
      <c r="F32" s="22">
        <f t="shared" si="0"/>
        <v>60</v>
      </c>
      <c r="G32" s="24"/>
    </row>
    <row r="33" spans="1:7" ht="15.5" x14ac:dyDescent="0.35">
      <c r="A33" s="22">
        <v>32</v>
      </c>
      <c r="B33" s="23" t="s">
        <v>30</v>
      </c>
      <c r="C33" s="22">
        <v>20</v>
      </c>
      <c r="D33" s="22">
        <v>20</v>
      </c>
      <c r="E33" s="22">
        <v>20</v>
      </c>
      <c r="F33" s="22">
        <f t="shared" si="0"/>
        <v>60</v>
      </c>
      <c r="G33" s="24"/>
    </row>
    <row r="34" spans="1:7" ht="15.5" x14ac:dyDescent="0.35">
      <c r="A34" s="22">
        <v>33</v>
      </c>
      <c r="B34" s="23" t="s">
        <v>31</v>
      </c>
      <c r="C34" s="22">
        <v>20</v>
      </c>
      <c r="D34" s="22">
        <v>20</v>
      </c>
      <c r="E34" s="22">
        <v>20</v>
      </c>
      <c r="F34" s="22">
        <f t="shared" si="0"/>
        <v>60</v>
      </c>
      <c r="G34" s="24"/>
    </row>
    <row r="35" spans="1:7" ht="15.5" x14ac:dyDescent="0.35">
      <c r="A35" s="22">
        <v>34</v>
      </c>
      <c r="B35" s="23" t="s">
        <v>32</v>
      </c>
      <c r="C35" s="22">
        <v>15</v>
      </c>
      <c r="D35" s="22">
        <v>15</v>
      </c>
      <c r="E35" s="22">
        <v>15</v>
      </c>
      <c r="F35" s="22">
        <f t="shared" si="0"/>
        <v>45</v>
      </c>
      <c r="G35" s="24"/>
    </row>
    <row r="36" spans="1:7" ht="15.5" x14ac:dyDescent="0.35">
      <c r="A36" s="22">
        <v>35</v>
      </c>
      <c r="B36" s="23" t="s">
        <v>33</v>
      </c>
      <c r="C36" s="22">
        <v>20</v>
      </c>
      <c r="D36" s="22">
        <v>20</v>
      </c>
      <c r="E36" s="22">
        <v>20</v>
      </c>
      <c r="F36" s="22">
        <f t="shared" si="0"/>
        <v>60</v>
      </c>
      <c r="G36" s="24"/>
    </row>
    <row r="37" spans="1:7" ht="15.5" x14ac:dyDescent="0.35">
      <c r="A37" s="22">
        <v>36</v>
      </c>
      <c r="B37" s="23" t="s">
        <v>34</v>
      </c>
      <c r="C37" s="22">
        <v>20</v>
      </c>
      <c r="D37" s="22">
        <v>20</v>
      </c>
      <c r="E37" s="22">
        <v>20</v>
      </c>
      <c r="F37" s="22">
        <f t="shared" si="0"/>
        <v>60</v>
      </c>
      <c r="G37" s="24"/>
    </row>
    <row r="38" spans="1:7" ht="15.5" x14ac:dyDescent="0.35">
      <c r="A38" s="22">
        <v>37</v>
      </c>
      <c r="B38" s="23" t="s">
        <v>35</v>
      </c>
      <c r="C38" s="22">
        <v>20</v>
      </c>
      <c r="D38" s="22">
        <v>20</v>
      </c>
      <c r="E38" s="22">
        <v>20</v>
      </c>
      <c r="F38" s="22">
        <f t="shared" si="0"/>
        <v>60</v>
      </c>
      <c r="G38" s="24"/>
    </row>
    <row r="39" spans="1:7" ht="15.5" x14ac:dyDescent="0.35">
      <c r="A39" s="22">
        <v>38</v>
      </c>
      <c r="B39" s="23" t="s">
        <v>36</v>
      </c>
      <c r="C39" s="22">
        <v>20</v>
      </c>
      <c r="D39" s="22">
        <v>20</v>
      </c>
      <c r="E39" s="22">
        <v>0</v>
      </c>
      <c r="F39" s="22">
        <f t="shared" si="0"/>
        <v>40</v>
      </c>
      <c r="G39" s="24"/>
    </row>
    <row r="40" spans="1:7" ht="15.5" x14ac:dyDescent="0.35">
      <c r="A40" s="22">
        <v>39</v>
      </c>
      <c r="B40" s="23" t="s">
        <v>37</v>
      </c>
      <c r="C40" s="22">
        <v>20</v>
      </c>
      <c r="D40" s="22">
        <v>20</v>
      </c>
      <c r="E40" s="22">
        <v>20</v>
      </c>
      <c r="F40" s="22">
        <f t="shared" si="0"/>
        <v>60</v>
      </c>
      <c r="G40" s="24"/>
    </row>
    <row r="41" spans="1:7" ht="15.5" x14ac:dyDescent="0.35">
      <c r="A41" s="22">
        <v>40</v>
      </c>
      <c r="B41" s="23" t="s">
        <v>38</v>
      </c>
      <c r="C41" s="22">
        <v>20</v>
      </c>
      <c r="D41" s="22">
        <v>20</v>
      </c>
      <c r="E41" s="22">
        <v>0</v>
      </c>
      <c r="F41" s="22">
        <f t="shared" si="0"/>
        <v>40</v>
      </c>
      <c r="G41" s="24"/>
    </row>
    <row r="42" spans="1:7" ht="15.5" x14ac:dyDescent="0.35">
      <c r="A42" s="22">
        <v>41</v>
      </c>
      <c r="B42" s="23" t="s">
        <v>39</v>
      </c>
      <c r="C42" s="22">
        <v>20</v>
      </c>
      <c r="D42" s="22">
        <v>20</v>
      </c>
      <c r="E42" s="22">
        <v>20</v>
      </c>
      <c r="F42" s="22">
        <f t="shared" si="0"/>
        <v>60</v>
      </c>
      <c r="G42" s="24"/>
    </row>
    <row r="43" spans="1:7" ht="15.5" x14ac:dyDescent="0.35">
      <c r="A43" s="22">
        <v>42</v>
      </c>
      <c r="B43" s="23" t="s">
        <v>40</v>
      </c>
      <c r="C43" s="22">
        <v>20</v>
      </c>
      <c r="D43" s="22">
        <v>20</v>
      </c>
      <c r="E43" s="22">
        <v>20</v>
      </c>
      <c r="F43" s="22">
        <f t="shared" si="0"/>
        <v>60</v>
      </c>
      <c r="G43" s="2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58E4C-AE6B-4A59-817F-1FD8C0BAEC5C}">
  <dimension ref="A1:G43"/>
  <sheetViews>
    <sheetView workbookViewId="0">
      <selection activeCell="J18" sqref="J18"/>
    </sheetView>
  </sheetViews>
  <sheetFormatPr defaultRowHeight="14.5" x14ac:dyDescent="0.35"/>
  <cols>
    <col min="2" max="2" width="22.26953125" customWidth="1"/>
  </cols>
  <sheetData>
    <row r="1" spans="1:7" ht="15.5" x14ac:dyDescent="0.35">
      <c r="A1" s="1" t="s">
        <v>48</v>
      </c>
      <c r="B1" s="1" t="s">
        <v>47</v>
      </c>
      <c r="C1" s="1" t="s">
        <v>59</v>
      </c>
      <c r="D1" s="1" t="s">
        <v>42</v>
      </c>
      <c r="E1" s="1" t="s">
        <v>43</v>
      </c>
      <c r="F1" s="1" t="s">
        <v>60</v>
      </c>
      <c r="G1" s="1" t="s">
        <v>49</v>
      </c>
    </row>
    <row r="2" spans="1:7" ht="15.5" x14ac:dyDescent="0.35">
      <c r="A2" s="1">
        <v>1</v>
      </c>
      <c r="B2" s="3" t="s">
        <v>0</v>
      </c>
      <c r="C2" s="1"/>
      <c r="D2" s="1"/>
      <c r="E2" s="1"/>
      <c r="F2" s="1"/>
      <c r="G2" s="2"/>
    </row>
    <row r="3" spans="1:7" ht="15.5" x14ac:dyDescent="0.35">
      <c r="A3" s="1">
        <v>2</v>
      </c>
      <c r="B3" s="3" t="s">
        <v>1</v>
      </c>
      <c r="C3" s="1"/>
      <c r="D3" s="1"/>
      <c r="E3" s="1"/>
      <c r="F3" s="1"/>
      <c r="G3" s="2"/>
    </row>
    <row r="4" spans="1:7" ht="15.5" x14ac:dyDescent="0.35">
      <c r="A4" s="1">
        <v>3</v>
      </c>
      <c r="B4" s="3" t="s">
        <v>46</v>
      </c>
      <c r="C4" s="1"/>
      <c r="D4" s="1"/>
      <c r="E4" s="1"/>
      <c r="F4" s="1"/>
      <c r="G4" s="2"/>
    </row>
    <row r="5" spans="1:7" ht="15.5" x14ac:dyDescent="0.35">
      <c r="A5" s="1">
        <v>4</v>
      </c>
      <c r="B5" s="3" t="s">
        <v>2</v>
      </c>
      <c r="C5" s="1"/>
      <c r="D5" s="1"/>
      <c r="E5" s="1"/>
      <c r="F5" s="1"/>
      <c r="G5" s="2"/>
    </row>
    <row r="6" spans="1:7" ht="15.5" x14ac:dyDescent="0.35">
      <c r="A6" s="1">
        <v>5</v>
      </c>
      <c r="B6" s="3" t="s">
        <v>3</v>
      </c>
      <c r="C6" s="1"/>
      <c r="D6" s="1"/>
      <c r="E6" s="1"/>
      <c r="F6" s="1"/>
      <c r="G6" s="2"/>
    </row>
    <row r="7" spans="1:7" ht="15.5" x14ac:dyDescent="0.35">
      <c r="A7" s="1">
        <v>6</v>
      </c>
      <c r="B7" s="3" t="s">
        <v>4</v>
      </c>
      <c r="C7" s="1"/>
      <c r="D7" s="1"/>
      <c r="E7" s="1"/>
      <c r="F7" s="1"/>
      <c r="G7" s="2"/>
    </row>
    <row r="8" spans="1:7" ht="15.5" x14ac:dyDescent="0.35">
      <c r="A8" s="1">
        <v>7</v>
      </c>
      <c r="B8" s="3" t="s">
        <v>5</v>
      </c>
      <c r="C8" s="1"/>
      <c r="D8" s="1"/>
      <c r="E8" s="1"/>
      <c r="F8" s="1"/>
      <c r="G8" s="2"/>
    </row>
    <row r="9" spans="1:7" ht="15.5" x14ac:dyDescent="0.35">
      <c r="A9" s="1">
        <v>8</v>
      </c>
      <c r="B9" s="3" t="s">
        <v>6</v>
      </c>
      <c r="C9" s="1"/>
      <c r="D9" s="1"/>
      <c r="E9" s="1"/>
      <c r="F9" s="1"/>
      <c r="G9" s="2"/>
    </row>
    <row r="10" spans="1:7" ht="15.5" x14ac:dyDescent="0.35">
      <c r="A10" s="1">
        <v>9</v>
      </c>
      <c r="B10" s="3" t="s">
        <v>7</v>
      </c>
      <c r="C10" s="1"/>
      <c r="D10" s="1"/>
      <c r="E10" s="1"/>
      <c r="F10" s="1"/>
      <c r="G10" s="2"/>
    </row>
    <row r="11" spans="1:7" ht="15.5" x14ac:dyDescent="0.35">
      <c r="A11" s="1">
        <v>10</v>
      </c>
      <c r="B11" s="3" t="s">
        <v>8</v>
      </c>
      <c r="C11" s="1"/>
      <c r="D11" s="1"/>
      <c r="E11" s="1"/>
      <c r="F11" s="1"/>
      <c r="G11" s="2"/>
    </row>
    <row r="12" spans="1:7" ht="15.5" x14ac:dyDescent="0.35">
      <c r="A12" s="1">
        <v>11</v>
      </c>
      <c r="B12" s="3" t="s">
        <v>9</v>
      </c>
      <c r="C12" s="1"/>
      <c r="D12" s="1"/>
      <c r="E12" s="1"/>
      <c r="F12" s="1"/>
      <c r="G12" s="2"/>
    </row>
    <row r="13" spans="1:7" ht="15.5" x14ac:dyDescent="0.35">
      <c r="A13" s="1">
        <v>12</v>
      </c>
      <c r="B13" s="3" t="s">
        <v>10</v>
      </c>
      <c r="C13" s="1"/>
      <c r="D13" s="1"/>
      <c r="E13" s="1"/>
      <c r="F13" s="1"/>
      <c r="G13" s="2"/>
    </row>
    <row r="14" spans="1:7" ht="15.5" x14ac:dyDescent="0.35">
      <c r="A14" s="1">
        <v>13</v>
      </c>
      <c r="B14" s="3" t="s">
        <v>11</v>
      </c>
      <c r="C14" s="1"/>
      <c r="D14" s="1"/>
      <c r="E14" s="1"/>
      <c r="F14" s="1"/>
      <c r="G14" s="2"/>
    </row>
    <row r="15" spans="1:7" ht="15.5" x14ac:dyDescent="0.35">
      <c r="A15" s="1">
        <v>14</v>
      </c>
      <c r="B15" s="3" t="s">
        <v>12</v>
      </c>
      <c r="C15" s="1"/>
      <c r="D15" s="1"/>
      <c r="E15" s="1"/>
      <c r="F15" s="1"/>
      <c r="G15" s="2"/>
    </row>
    <row r="16" spans="1:7" ht="15.5" x14ac:dyDescent="0.35">
      <c r="A16" s="1">
        <v>15</v>
      </c>
      <c r="B16" s="3" t="s">
        <v>13</v>
      </c>
      <c r="C16" s="1"/>
      <c r="D16" s="1"/>
      <c r="E16" s="1"/>
      <c r="F16" s="1"/>
      <c r="G16" s="2"/>
    </row>
    <row r="17" spans="1:7" ht="15.5" x14ac:dyDescent="0.35">
      <c r="A17" s="1">
        <v>16</v>
      </c>
      <c r="B17" s="3" t="s">
        <v>14</v>
      </c>
      <c r="C17" s="1"/>
      <c r="D17" s="1"/>
      <c r="E17" s="1"/>
      <c r="F17" s="1"/>
      <c r="G17" s="2"/>
    </row>
    <row r="18" spans="1:7" ht="15.5" x14ac:dyDescent="0.35">
      <c r="A18" s="1">
        <v>17</v>
      </c>
      <c r="B18" s="3" t="s">
        <v>15</v>
      </c>
      <c r="C18" s="1"/>
      <c r="D18" s="1"/>
      <c r="E18" s="1"/>
      <c r="F18" s="1"/>
      <c r="G18" s="2"/>
    </row>
    <row r="19" spans="1:7" ht="15.5" x14ac:dyDescent="0.35">
      <c r="A19" s="1">
        <v>18</v>
      </c>
      <c r="B19" s="3" t="s">
        <v>16</v>
      </c>
      <c r="C19" s="1"/>
      <c r="D19" s="1"/>
      <c r="E19" s="1"/>
      <c r="F19" s="1"/>
      <c r="G19" s="2"/>
    </row>
    <row r="20" spans="1:7" ht="15.5" x14ac:dyDescent="0.35">
      <c r="A20" s="1">
        <v>19</v>
      </c>
      <c r="B20" s="3" t="s">
        <v>17</v>
      </c>
      <c r="C20" s="1"/>
      <c r="D20" s="1"/>
      <c r="E20" s="1"/>
      <c r="F20" s="1"/>
      <c r="G20" s="2"/>
    </row>
    <row r="21" spans="1:7" ht="15.5" x14ac:dyDescent="0.35">
      <c r="A21" s="1">
        <v>20</v>
      </c>
      <c r="B21" s="3" t="s">
        <v>18</v>
      </c>
      <c r="C21" s="1"/>
      <c r="D21" s="1"/>
      <c r="E21" s="1"/>
      <c r="F21" s="1"/>
      <c r="G21" s="2"/>
    </row>
    <row r="22" spans="1:7" ht="15.5" x14ac:dyDescent="0.35">
      <c r="A22" s="1">
        <v>21</v>
      </c>
      <c r="B22" s="3" t="s">
        <v>19</v>
      </c>
      <c r="C22" s="1"/>
      <c r="D22" s="1"/>
      <c r="E22" s="1"/>
      <c r="F22" s="1"/>
      <c r="G22" s="2"/>
    </row>
    <row r="23" spans="1:7" ht="15.5" x14ac:dyDescent="0.35">
      <c r="A23" s="1">
        <v>22</v>
      </c>
      <c r="B23" s="3" t="s">
        <v>20</v>
      </c>
      <c r="C23" s="1"/>
      <c r="D23" s="1"/>
      <c r="E23" s="1"/>
      <c r="F23" s="1"/>
      <c r="G23" s="2"/>
    </row>
    <row r="24" spans="1:7" ht="15.5" x14ac:dyDescent="0.35">
      <c r="A24" s="1">
        <v>23</v>
      </c>
      <c r="B24" s="3" t="s">
        <v>21</v>
      </c>
      <c r="C24" s="1"/>
      <c r="D24" s="1"/>
      <c r="E24" s="1"/>
      <c r="F24" s="1"/>
      <c r="G24" s="2"/>
    </row>
    <row r="25" spans="1:7" ht="15.5" x14ac:dyDescent="0.35">
      <c r="A25" s="1">
        <v>24</v>
      </c>
      <c r="B25" s="3" t="s">
        <v>22</v>
      </c>
      <c r="C25" s="1"/>
      <c r="D25" s="1"/>
      <c r="E25" s="1"/>
      <c r="F25" s="1"/>
      <c r="G25" s="2"/>
    </row>
    <row r="26" spans="1:7" ht="15.5" x14ac:dyDescent="0.35">
      <c r="A26" s="1">
        <v>25</v>
      </c>
      <c r="B26" s="3" t="s">
        <v>23</v>
      </c>
      <c r="C26" s="1"/>
      <c r="D26" s="1"/>
      <c r="E26" s="1"/>
      <c r="F26" s="1"/>
      <c r="G26" s="2"/>
    </row>
    <row r="27" spans="1:7" ht="15.5" x14ac:dyDescent="0.35">
      <c r="A27" s="1">
        <v>26</v>
      </c>
      <c r="B27" s="3" t="s">
        <v>24</v>
      </c>
      <c r="C27" s="1"/>
      <c r="D27" s="1"/>
      <c r="E27" s="1"/>
      <c r="F27" s="1"/>
      <c r="G27" s="2"/>
    </row>
    <row r="28" spans="1:7" ht="15.5" x14ac:dyDescent="0.35">
      <c r="A28" s="1">
        <v>27</v>
      </c>
      <c r="B28" s="3" t="s">
        <v>25</v>
      </c>
      <c r="C28" s="1"/>
      <c r="D28" s="1"/>
      <c r="E28" s="1"/>
      <c r="F28" s="1"/>
      <c r="G28" s="2"/>
    </row>
    <row r="29" spans="1:7" ht="15.5" x14ac:dyDescent="0.35">
      <c r="A29" s="1">
        <v>28</v>
      </c>
      <c r="B29" s="3" t="s">
        <v>26</v>
      </c>
      <c r="C29" s="1"/>
      <c r="D29" s="1"/>
      <c r="E29" s="1"/>
      <c r="F29" s="1"/>
      <c r="G29" s="2"/>
    </row>
    <row r="30" spans="1:7" ht="15.5" x14ac:dyDescent="0.35">
      <c r="A30" s="1">
        <v>29</v>
      </c>
      <c r="B30" s="3" t="s">
        <v>27</v>
      </c>
      <c r="C30" s="1"/>
      <c r="D30" s="1"/>
      <c r="E30" s="1"/>
      <c r="F30" s="1"/>
      <c r="G30" s="2"/>
    </row>
    <row r="31" spans="1:7" ht="15.5" x14ac:dyDescent="0.35">
      <c r="A31" s="1">
        <v>30</v>
      </c>
      <c r="B31" s="3" t="s">
        <v>28</v>
      </c>
      <c r="C31" s="1"/>
      <c r="D31" s="1"/>
      <c r="E31" s="1"/>
      <c r="F31" s="1"/>
      <c r="G31" s="2"/>
    </row>
    <row r="32" spans="1:7" ht="15.5" x14ac:dyDescent="0.35">
      <c r="A32" s="1">
        <v>31</v>
      </c>
      <c r="B32" s="3" t="s">
        <v>29</v>
      </c>
      <c r="C32" s="1"/>
      <c r="D32" s="1"/>
      <c r="E32" s="1"/>
      <c r="F32" s="1"/>
      <c r="G32" s="2"/>
    </row>
    <row r="33" spans="1:7" ht="15.5" x14ac:dyDescent="0.35">
      <c r="A33" s="1">
        <v>32</v>
      </c>
      <c r="B33" s="3" t="s">
        <v>30</v>
      </c>
      <c r="C33" s="1"/>
      <c r="D33" s="1"/>
      <c r="E33" s="1"/>
      <c r="F33" s="1"/>
      <c r="G33" s="2"/>
    </row>
    <row r="34" spans="1:7" ht="15.5" x14ac:dyDescent="0.35">
      <c r="A34" s="1">
        <v>33</v>
      </c>
      <c r="B34" s="3" t="s">
        <v>31</v>
      </c>
      <c r="C34" s="1"/>
      <c r="D34" s="1"/>
      <c r="E34" s="1"/>
      <c r="F34" s="1"/>
      <c r="G34" s="2"/>
    </row>
    <row r="35" spans="1:7" ht="15.5" x14ac:dyDescent="0.35">
      <c r="A35" s="1">
        <v>34</v>
      </c>
      <c r="B35" s="3" t="s">
        <v>32</v>
      </c>
      <c r="C35" s="1"/>
      <c r="D35" s="1"/>
      <c r="E35" s="1"/>
      <c r="F35" s="1"/>
      <c r="G35" s="2"/>
    </row>
    <row r="36" spans="1:7" ht="15.5" x14ac:dyDescent="0.35">
      <c r="A36" s="1">
        <v>35</v>
      </c>
      <c r="B36" s="3" t="s">
        <v>33</v>
      </c>
      <c r="C36" s="1"/>
      <c r="D36" s="1"/>
      <c r="E36" s="1"/>
      <c r="F36" s="1"/>
      <c r="G36" s="2"/>
    </row>
    <row r="37" spans="1:7" ht="15.5" x14ac:dyDescent="0.35">
      <c r="A37" s="1">
        <v>36</v>
      </c>
      <c r="B37" s="3" t="s">
        <v>34</v>
      </c>
      <c r="C37" s="1"/>
      <c r="D37" s="1"/>
      <c r="E37" s="1"/>
      <c r="F37" s="1"/>
      <c r="G37" s="2"/>
    </row>
    <row r="38" spans="1:7" ht="15.5" x14ac:dyDescent="0.35">
      <c r="A38" s="1">
        <v>37</v>
      </c>
      <c r="B38" s="3" t="s">
        <v>35</v>
      </c>
      <c r="C38" s="1"/>
      <c r="D38" s="1"/>
      <c r="E38" s="1"/>
      <c r="F38" s="1"/>
      <c r="G38" s="2"/>
    </row>
    <row r="39" spans="1:7" ht="15.5" x14ac:dyDescent="0.35">
      <c r="A39" s="1">
        <v>38</v>
      </c>
      <c r="B39" s="3" t="s">
        <v>36</v>
      </c>
      <c r="C39" s="1"/>
      <c r="D39" s="1"/>
      <c r="E39" s="1"/>
      <c r="F39" s="1"/>
      <c r="G39" s="2"/>
    </row>
    <row r="40" spans="1:7" ht="15.5" x14ac:dyDescent="0.35">
      <c r="A40" s="1">
        <v>39</v>
      </c>
      <c r="B40" s="3" t="s">
        <v>37</v>
      </c>
      <c r="C40" s="1"/>
      <c r="D40" s="1"/>
      <c r="E40" s="1"/>
      <c r="F40" s="1"/>
      <c r="G40" s="2"/>
    </row>
    <row r="41" spans="1:7" ht="15.5" x14ac:dyDescent="0.35">
      <c r="A41" s="1">
        <v>40</v>
      </c>
      <c r="B41" s="3" t="s">
        <v>38</v>
      </c>
      <c r="C41" s="1"/>
      <c r="D41" s="1"/>
      <c r="E41" s="1"/>
      <c r="F41" s="1"/>
      <c r="G41" s="2"/>
    </row>
    <row r="42" spans="1:7" ht="15.5" x14ac:dyDescent="0.35">
      <c r="A42" s="1">
        <v>41</v>
      </c>
      <c r="B42" s="3" t="s">
        <v>39</v>
      </c>
      <c r="C42" s="1"/>
      <c r="D42" s="1"/>
      <c r="E42" s="1"/>
      <c r="F42" s="1"/>
      <c r="G42" s="2"/>
    </row>
    <row r="43" spans="1:7" ht="15.5" x14ac:dyDescent="0.35">
      <c r="A43" s="1">
        <v>42</v>
      </c>
      <c r="B43" s="3" t="s">
        <v>40</v>
      </c>
      <c r="C43" s="1"/>
      <c r="D43" s="1"/>
      <c r="E43" s="1"/>
      <c r="F43" s="1"/>
      <c r="G43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0A0E6-F880-49C0-B9DF-5FC4A5EF6EAB}">
  <dimension ref="A1:H213"/>
  <sheetViews>
    <sheetView workbookViewId="0">
      <selection sqref="A1:C1"/>
    </sheetView>
  </sheetViews>
  <sheetFormatPr defaultRowHeight="14.5" x14ac:dyDescent="0.35"/>
  <cols>
    <col min="1" max="1" width="9.1796875" customWidth="1"/>
    <col min="2" max="2" width="37.54296875" customWidth="1"/>
    <col min="3" max="3" width="84.54296875" customWidth="1"/>
    <col min="4" max="4" width="13.1796875" customWidth="1"/>
    <col min="5" max="5" width="12.54296875" customWidth="1"/>
    <col min="6" max="6" width="11.453125" customWidth="1"/>
  </cols>
  <sheetData>
    <row r="1" spans="1:8" x14ac:dyDescent="0.35">
      <c r="A1" s="84" t="s">
        <v>175</v>
      </c>
      <c r="B1" s="84"/>
      <c r="C1" s="84"/>
    </row>
    <row r="2" spans="1:8" x14ac:dyDescent="0.35">
      <c r="A2" s="6"/>
    </row>
    <row r="3" spans="1:8" x14ac:dyDescent="0.35">
      <c r="A3" s="85" t="s">
        <v>48</v>
      </c>
      <c r="B3" s="86" t="s">
        <v>51</v>
      </c>
      <c r="C3" s="87" t="s">
        <v>105</v>
      </c>
      <c r="D3" s="88" t="s">
        <v>106</v>
      </c>
      <c r="E3" s="88"/>
      <c r="F3" s="88"/>
      <c r="G3" s="88"/>
      <c r="H3" s="6"/>
    </row>
    <row r="4" spans="1:8" x14ac:dyDescent="0.35">
      <c r="A4" s="85"/>
      <c r="B4" s="86"/>
      <c r="C4" s="86"/>
      <c r="D4" s="15" t="s">
        <v>107</v>
      </c>
      <c r="E4" s="15" t="s">
        <v>108</v>
      </c>
      <c r="F4" s="15" t="s">
        <v>49</v>
      </c>
      <c r="G4" s="15" t="s">
        <v>174</v>
      </c>
    </row>
    <row r="5" spans="1:8" x14ac:dyDescent="0.35">
      <c r="A5" s="8" t="s">
        <v>109</v>
      </c>
      <c r="B5" s="9" t="s">
        <v>0</v>
      </c>
      <c r="C5" s="9" t="s">
        <v>110</v>
      </c>
      <c r="D5" s="10" t="s">
        <v>111</v>
      </c>
      <c r="E5" s="8"/>
      <c r="F5" s="9"/>
      <c r="G5" s="9"/>
    </row>
    <row r="6" spans="1:8" ht="15" x14ac:dyDescent="0.35">
      <c r="A6" s="9"/>
      <c r="B6" s="9"/>
      <c r="C6" s="9" t="s">
        <v>112</v>
      </c>
      <c r="D6" s="8"/>
      <c r="E6" s="10" t="s">
        <v>113</v>
      </c>
      <c r="F6" s="9"/>
      <c r="G6" s="9"/>
    </row>
    <row r="7" spans="1:8" x14ac:dyDescent="0.35">
      <c r="A7" s="9"/>
      <c r="B7" s="9"/>
      <c r="C7" s="9" t="s">
        <v>114</v>
      </c>
      <c r="D7" s="10" t="s">
        <v>111</v>
      </c>
      <c r="E7" s="8"/>
      <c r="F7" s="9"/>
      <c r="G7" s="9"/>
    </row>
    <row r="8" spans="1:8" x14ac:dyDescent="0.35">
      <c r="A8" s="11"/>
      <c r="B8" s="11"/>
      <c r="C8" s="11" t="s">
        <v>115</v>
      </c>
      <c r="D8" s="12" t="s">
        <v>111</v>
      </c>
      <c r="E8" s="13"/>
      <c r="F8" s="11"/>
      <c r="G8" s="9"/>
    </row>
    <row r="9" spans="1:8" x14ac:dyDescent="0.35">
      <c r="A9" s="9"/>
      <c r="B9" s="9"/>
      <c r="C9" s="9"/>
      <c r="D9" s="9"/>
      <c r="E9" s="9"/>
      <c r="F9" s="9"/>
      <c r="G9" s="9"/>
    </row>
    <row r="10" spans="1:8" x14ac:dyDescent="0.35">
      <c r="A10" s="8" t="s">
        <v>116</v>
      </c>
      <c r="B10" s="9" t="s">
        <v>1</v>
      </c>
      <c r="C10" s="9" t="s">
        <v>110</v>
      </c>
      <c r="D10" s="9"/>
      <c r="E10" s="10" t="s">
        <v>117</v>
      </c>
      <c r="F10" s="9"/>
      <c r="G10" s="9"/>
    </row>
    <row r="11" spans="1:8" x14ac:dyDescent="0.35">
      <c r="A11" s="9"/>
      <c r="B11" s="9"/>
      <c r="C11" s="9" t="s">
        <v>112</v>
      </c>
      <c r="D11" s="9"/>
      <c r="E11" s="10" t="s">
        <v>117</v>
      </c>
      <c r="F11" s="9"/>
      <c r="G11" s="9"/>
    </row>
    <row r="12" spans="1:8" x14ac:dyDescent="0.35">
      <c r="A12" s="9"/>
      <c r="B12" s="9"/>
      <c r="C12" s="9" t="s">
        <v>114</v>
      </c>
      <c r="D12" s="10" t="s">
        <v>111</v>
      </c>
      <c r="E12" s="9"/>
      <c r="F12" s="9"/>
      <c r="G12" s="9"/>
    </row>
    <row r="13" spans="1:8" x14ac:dyDescent="0.35">
      <c r="A13" s="9"/>
      <c r="B13" s="9"/>
      <c r="C13" s="9" t="s">
        <v>118</v>
      </c>
      <c r="D13" s="10" t="s">
        <v>111</v>
      </c>
      <c r="E13" s="9"/>
      <c r="F13" s="9"/>
      <c r="G13" s="9"/>
    </row>
    <row r="14" spans="1:8" x14ac:dyDescent="0.35">
      <c r="A14" s="9"/>
      <c r="B14" s="9"/>
      <c r="C14" s="9"/>
      <c r="D14" s="9"/>
      <c r="E14" s="9"/>
      <c r="F14" s="9"/>
      <c r="G14" s="9"/>
    </row>
    <row r="15" spans="1:8" x14ac:dyDescent="0.35">
      <c r="A15" s="8" t="s">
        <v>119</v>
      </c>
      <c r="B15" s="9" t="s">
        <v>53</v>
      </c>
      <c r="C15" s="9" t="s">
        <v>110</v>
      </c>
      <c r="D15" s="10" t="s">
        <v>111</v>
      </c>
      <c r="E15" s="9"/>
      <c r="F15" s="9"/>
      <c r="G15" s="9"/>
    </row>
    <row r="16" spans="1:8" x14ac:dyDescent="0.35">
      <c r="A16" s="9"/>
      <c r="B16" s="9"/>
      <c r="C16" s="9" t="s">
        <v>112</v>
      </c>
      <c r="D16" s="10" t="s">
        <v>111</v>
      </c>
      <c r="E16" s="9"/>
      <c r="F16" s="9"/>
      <c r="G16" s="9"/>
    </row>
    <row r="17" spans="1:7" x14ac:dyDescent="0.35">
      <c r="A17" s="9"/>
      <c r="B17" s="9"/>
      <c r="C17" s="9" t="s">
        <v>114</v>
      </c>
      <c r="D17" s="10" t="s">
        <v>111</v>
      </c>
      <c r="E17" s="9"/>
      <c r="F17" s="9"/>
      <c r="G17" s="9"/>
    </row>
    <row r="18" spans="1:7" x14ac:dyDescent="0.35">
      <c r="A18" s="9"/>
      <c r="B18" s="9"/>
      <c r="C18" s="9" t="s">
        <v>120</v>
      </c>
      <c r="D18" s="10" t="s">
        <v>111</v>
      </c>
      <c r="E18" s="9"/>
      <c r="F18" s="9"/>
      <c r="G18" s="9"/>
    </row>
    <row r="19" spans="1:7" x14ac:dyDescent="0.35">
      <c r="A19" s="9"/>
      <c r="B19" s="9"/>
      <c r="C19" s="9"/>
      <c r="D19" s="9"/>
      <c r="E19" s="9"/>
      <c r="F19" s="9"/>
      <c r="G19" s="9"/>
    </row>
    <row r="20" spans="1:7" x14ac:dyDescent="0.35">
      <c r="A20" s="8" t="s">
        <v>121</v>
      </c>
      <c r="B20" s="9" t="s">
        <v>2</v>
      </c>
      <c r="C20" s="9" t="s">
        <v>110</v>
      </c>
      <c r="D20" s="10" t="s">
        <v>111</v>
      </c>
      <c r="E20" s="8"/>
      <c r="F20" s="9"/>
      <c r="G20" s="9"/>
    </row>
    <row r="21" spans="1:7" x14ac:dyDescent="0.35">
      <c r="A21" s="9"/>
      <c r="B21" s="9"/>
      <c r="C21" s="9" t="s">
        <v>112</v>
      </c>
      <c r="D21" s="8"/>
      <c r="E21" s="10" t="s">
        <v>117</v>
      </c>
      <c r="F21" s="9"/>
      <c r="G21" s="9"/>
    </row>
    <row r="22" spans="1:7" x14ac:dyDescent="0.35">
      <c r="A22" s="9"/>
      <c r="B22" s="9"/>
      <c r="C22" s="9" t="s">
        <v>114</v>
      </c>
      <c r="D22" s="10" t="s">
        <v>111</v>
      </c>
      <c r="E22" s="8"/>
      <c r="F22" s="9"/>
      <c r="G22" s="9"/>
    </row>
    <row r="23" spans="1:7" x14ac:dyDescent="0.35">
      <c r="A23" s="9"/>
      <c r="B23" s="9"/>
      <c r="C23" s="9" t="s">
        <v>118</v>
      </c>
      <c r="D23" s="10" t="s">
        <v>111</v>
      </c>
      <c r="E23" s="8"/>
      <c r="F23" s="9"/>
      <c r="G23" s="9"/>
    </row>
    <row r="24" spans="1:7" x14ac:dyDescent="0.35">
      <c r="A24" s="9"/>
      <c r="B24" s="9"/>
      <c r="C24" s="9"/>
      <c r="D24" s="9"/>
      <c r="E24" s="9"/>
      <c r="F24" s="9"/>
      <c r="G24" s="9"/>
    </row>
    <row r="25" spans="1:7" x14ac:dyDescent="0.35">
      <c r="A25" s="9" t="s">
        <v>122</v>
      </c>
      <c r="B25" s="9" t="s">
        <v>123</v>
      </c>
      <c r="C25" s="9" t="s">
        <v>110</v>
      </c>
      <c r="D25" s="10" t="s">
        <v>111</v>
      </c>
      <c r="E25" s="9"/>
      <c r="F25" s="9"/>
      <c r="G25" s="9"/>
    </row>
    <row r="26" spans="1:7" x14ac:dyDescent="0.35">
      <c r="A26" s="9"/>
      <c r="B26" s="9"/>
      <c r="C26" s="9" t="s">
        <v>112</v>
      </c>
      <c r="D26" s="10" t="s">
        <v>111</v>
      </c>
      <c r="E26" s="9"/>
      <c r="F26" s="9"/>
      <c r="G26" s="9"/>
    </row>
    <row r="27" spans="1:7" x14ac:dyDescent="0.35">
      <c r="A27" s="9"/>
      <c r="B27" s="9"/>
      <c r="C27" s="9" t="s">
        <v>114</v>
      </c>
      <c r="D27" s="10" t="s">
        <v>111</v>
      </c>
      <c r="E27" s="9"/>
      <c r="F27" s="9"/>
      <c r="G27" s="9"/>
    </row>
    <row r="28" spans="1:7" x14ac:dyDescent="0.35">
      <c r="A28" s="9"/>
      <c r="B28" s="9"/>
      <c r="C28" s="9" t="s">
        <v>118</v>
      </c>
      <c r="D28" s="10" t="s">
        <v>111</v>
      </c>
      <c r="E28" s="9"/>
      <c r="F28" s="9"/>
      <c r="G28" s="9"/>
    </row>
    <row r="29" spans="1:7" x14ac:dyDescent="0.35">
      <c r="A29" s="9"/>
      <c r="B29" s="9"/>
      <c r="C29" s="9"/>
      <c r="D29" s="9"/>
      <c r="E29" s="9"/>
      <c r="F29" s="9"/>
      <c r="G29" s="9"/>
    </row>
    <row r="30" spans="1:7" x14ac:dyDescent="0.35">
      <c r="A30" s="9" t="s">
        <v>124</v>
      </c>
      <c r="B30" s="9" t="s">
        <v>125</v>
      </c>
      <c r="C30" s="9" t="s">
        <v>110</v>
      </c>
      <c r="D30" s="10" t="s">
        <v>111</v>
      </c>
      <c r="E30" s="8"/>
      <c r="F30" s="9"/>
      <c r="G30" s="9"/>
    </row>
    <row r="31" spans="1:7" x14ac:dyDescent="0.35">
      <c r="A31" s="9"/>
      <c r="B31" s="9"/>
      <c r="C31" s="9" t="s">
        <v>112</v>
      </c>
      <c r="D31" s="10" t="s">
        <v>111</v>
      </c>
      <c r="E31" s="8"/>
      <c r="F31" s="9"/>
      <c r="G31" s="9"/>
    </row>
    <row r="32" spans="1:7" x14ac:dyDescent="0.35">
      <c r="A32" s="9"/>
      <c r="B32" s="9"/>
      <c r="C32" s="9" t="s">
        <v>114</v>
      </c>
      <c r="D32" s="8"/>
      <c r="E32" s="10" t="s">
        <v>117</v>
      </c>
      <c r="F32" s="9"/>
      <c r="G32" s="9"/>
    </row>
    <row r="33" spans="1:7" x14ac:dyDescent="0.35">
      <c r="A33" s="9"/>
      <c r="B33" s="9"/>
      <c r="C33" s="9" t="s">
        <v>118</v>
      </c>
      <c r="D33" s="10" t="s">
        <v>111</v>
      </c>
      <c r="E33" s="8"/>
      <c r="F33" s="9"/>
      <c r="G33" s="9"/>
    </row>
    <row r="34" spans="1:7" x14ac:dyDescent="0.35">
      <c r="A34" s="9"/>
      <c r="B34" s="9"/>
      <c r="C34" s="9"/>
      <c r="D34" s="9"/>
      <c r="E34" s="9"/>
      <c r="F34" s="9"/>
      <c r="G34" s="9"/>
    </row>
    <row r="35" spans="1:7" x14ac:dyDescent="0.35">
      <c r="A35" s="9" t="s">
        <v>126</v>
      </c>
      <c r="B35" s="9" t="s">
        <v>5</v>
      </c>
      <c r="C35" s="9" t="s">
        <v>110</v>
      </c>
      <c r="D35" s="10" t="s">
        <v>111</v>
      </c>
      <c r="E35" s="8"/>
      <c r="F35" s="9"/>
      <c r="G35" s="9"/>
    </row>
    <row r="36" spans="1:7" x14ac:dyDescent="0.35">
      <c r="A36" s="9"/>
      <c r="B36" s="9"/>
      <c r="C36" s="9" t="s">
        <v>112</v>
      </c>
      <c r="D36" s="8"/>
      <c r="E36" s="10" t="s">
        <v>117</v>
      </c>
      <c r="F36" s="9"/>
      <c r="G36" s="9"/>
    </row>
    <row r="37" spans="1:7" x14ac:dyDescent="0.35">
      <c r="A37" s="9"/>
      <c r="B37" s="9"/>
      <c r="C37" s="9" t="s">
        <v>114</v>
      </c>
      <c r="D37" s="10" t="s">
        <v>111</v>
      </c>
      <c r="E37" s="8"/>
      <c r="F37" s="9"/>
      <c r="G37" s="9"/>
    </row>
    <row r="38" spans="1:7" x14ac:dyDescent="0.35">
      <c r="A38" s="9"/>
      <c r="B38" s="9"/>
      <c r="C38" s="9" t="s">
        <v>118</v>
      </c>
      <c r="D38" s="10" t="s">
        <v>111</v>
      </c>
      <c r="E38" s="8"/>
      <c r="F38" s="9"/>
      <c r="G38" s="9"/>
    </row>
    <row r="39" spans="1:7" x14ac:dyDescent="0.35">
      <c r="A39" s="9"/>
      <c r="B39" s="9"/>
      <c r="C39" s="9"/>
      <c r="D39" s="8"/>
      <c r="E39" s="8"/>
      <c r="F39" s="9"/>
      <c r="G39" s="9"/>
    </row>
    <row r="40" spans="1:7" x14ac:dyDescent="0.35">
      <c r="A40" s="9" t="s">
        <v>127</v>
      </c>
      <c r="B40" s="9" t="s">
        <v>128</v>
      </c>
      <c r="C40" s="9" t="s">
        <v>110</v>
      </c>
      <c r="D40" s="10" t="s">
        <v>111</v>
      </c>
      <c r="E40" s="8"/>
      <c r="F40" s="9"/>
      <c r="G40" s="9"/>
    </row>
    <row r="41" spans="1:7" x14ac:dyDescent="0.35">
      <c r="A41" s="9"/>
      <c r="B41" s="9"/>
      <c r="C41" s="9" t="s">
        <v>112</v>
      </c>
      <c r="D41" s="10" t="s">
        <v>111</v>
      </c>
      <c r="E41" s="8"/>
      <c r="F41" s="9"/>
      <c r="G41" s="9"/>
    </row>
    <row r="42" spans="1:7" x14ac:dyDescent="0.35">
      <c r="A42" s="9"/>
      <c r="B42" s="9"/>
      <c r="C42" s="9" t="s">
        <v>114</v>
      </c>
      <c r="D42" s="10" t="s">
        <v>111</v>
      </c>
      <c r="E42" s="8"/>
      <c r="F42" s="9"/>
      <c r="G42" s="9"/>
    </row>
    <row r="43" spans="1:7" x14ac:dyDescent="0.35">
      <c r="A43" s="9"/>
      <c r="B43" s="9"/>
      <c r="C43" s="9" t="s">
        <v>118</v>
      </c>
      <c r="D43" s="10" t="s">
        <v>111</v>
      </c>
      <c r="E43" s="8"/>
      <c r="F43" s="9"/>
      <c r="G43" s="9"/>
    </row>
    <row r="44" spans="1:7" x14ac:dyDescent="0.35">
      <c r="A44" s="9"/>
      <c r="B44" s="9"/>
      <c r="C44" s="9"/>
      <c r="D44" s="8"/>
      <c r="E44" s="8"/>
      <c r="F44" s="9"/>
      <c r="G44" s="9"/>
    </row>
    <row r="45" spans="1:7" x14ac:dyDescent="0.35">
      <c r="A45" s="9" t="s">
        <v>129</v>
      </c>
      <c r="B45" s="9" t="s">
        <v>7</v>
      </c>
      <c r="C45" s="9" t="s">
        <v>110</v>
      </c>
      <c r="D45" s="10" t="s">
        <v>111</v>
      </c>
      <c r="E45" s="8"/>
      <c r="F45" s="9"/>
      <c r="G45" s="9"/>
    </row>
    <row r="46" spans="1:7" x14ac:dyDescent="0.35">
      <c r="A46" s="9"/>
      <c r="B46" s="9"/>
      <c r="C46" s="9" t="s">
        <v>112</v>
      </c>
      <c r="D46" s="10" t="s">
        <v>111</v>
      </c>
      <c r="E46" s="8"/>
      <c r="F46" s="9"/>
      <c r="G46" s="9"/>
    </row>
    <row r="47" spans="1:7" x14ac:dyDescent="0.35">
      <c r="A47" s="9"/>
      <c r="B47" s="9"/>
      <c r="C47" s="9" t="s">
        <v>114</v>
      </c>
      <c r="D47" s="10" t="s">
        <v>111</v>
      </c>
      <c r="E47" s="8"/>
      <c r="F47" s="9"/>
      <c r="G47" s="9"/>
    </row>
    <row r="48" spans="1:7" x14ac:dyDescent="0.35">
      <c r="A48" s="9"/>
      <c r="B48" s="9"/>
      <c r="C48" s="9" t="s">
        <v>118</v>
      </c>
      <c r="D48" s="10" t="s">
        <v>111</v>
      </c>
      <c r="E48" s="8"/>
      <c r="F48" s="9"/>
      <c r="G48" s="9"/>
    </row>
    <row r="49" spans="1:7" x14ac:dyDescent="0.35">
      <c r="A49" s="9"/>
      <c r="B49" s="9"/>
      <c r="C49" s="9"/>
      <c r="D49" s="8"/>
      <c r="E49" s="8"/>
      <c r="F49" s="9"/>
      <c r="G49" s="9"/>
    </row>
    <row r="50" spans="1:7" x14ac:dyDescent="0.35">
      <c r="A50" s="9" t="s">
        <v>130</v>
      </c>
      <c r="B50" s="9" t="s">
        <v>54</v>
      </c>
      <c r="C50" s="9" t="s">
        <v>110</v>
      </c>
      <c r="D50" s="10" t="s">
        <v>111</v>
      </c>
      <c r="E50" s="8"/>
      <c r="F50" s="9"/>
      <c r="G50" s="9"/>
    </row>
    <row r="51" spans="1:7" x14ac:dyDescent="0.35">
      <c r="A51" s="9"/>
      <c r="B51" s="9"/>
      <c r="C51" s="9" t="s">
        <v>112</v>
      </c>
      <c r="D51" s="10" t="s">
        <v>111</v>
      </c>
      <c r="E51" s="8"/>
      <c r="F51" s="9"/>
      <c r="G51" s="9"/>
    </row>
    <row r="52" spans="1:7" x14ac:dyDescent="0.35">
      <c r="A52" s="9"/>
      <c r="B52" s="9"/>
      <c r="C52" s="9" t="s">
        <v>114</v>
      </c>
      <c r="D52" s="10" t="s">
        <v>111</v>
      </c>
      <c r="E52" s="8"/>
      <c r="F52" s="9"/>
      <c r="G52" s="9"/>
    </row>
    <row r="53" spans="1:7" x14ac:dyDescent="0.35">
      <c r="A53" s="9"/>
      <c r="B53" s="9"/>
      <c r="C53" s="9" t="s">
        <v>118</v>
      </c>
      <c r="D53" s="10" t="s">
        <v>111</v>
      </c>
      <c r="E53" s="8"/>
      <c r="F53" s="9"/>
      <c r="G53" s="9"/>
    </row>
    <row r="54" spans="1:7" x14ac:dyDescent="0.35">
      <c r="A54" s="9"/>
      <c r="B54" s="9"/>
      <c r="C54" s="9"/>
      <c r="D54" s="8"/>
      <c r="E54" s="8"/>
      <c r="F54" s="9"/>
      <c r="G54" s="9"/>
    </row>
    <row r="55" spans="1:7" x14ac:dyDescent="0.35">
      <c r="A55" s="9" t="s">
        <v>131</v>
      </c>
      <c r="B55" s="9" t="s">
        <v>132</v>
      </c>
      <c r="C55" s="9" t="s">
        <v>110</v>
      </c>
      <c r="D55" s="10" t="s">
        <v>111</v>
      </c>
      <c r="E55" s="8"/>
      <c r="F55" s="9"/>
      <c r="G55" s="9"/>
    </row>
    <row r="56" spans="1:7" x14ac:dyDescent="0.35">
      <c r="A56" s="9"/>
      <c r="B56" s="9"/>
      <c r="C56" s="9" t="s">
        <v>112</v>
      </c>
      <c r="D56" s="10"/>
      <c r="E56" s="10" t="s">
        <v>117</v>
      </c>
      <c r="F56" s="9"/>
      <c r="G56" s="9"/>
    </row>
    <row r="57" spans="1:7" x14ac:dyDescent="0.35">
      <c r="A57" s="9"/>
      <c r="B57" s="9"/>
      <c r="C57" s="9" t="s">
        <v>114</v>
      </c>
      <c r="D57" s="10" t="s">
        <v>111</v>
      </c>
      <c r="E57" s="8"/>
      <c r="F57" s="9"/>
      <c r="G57" s="9"/>
    </row>
    <row r="58" spans="1:7" x14ac:dyDescent="0.35">
      <c r="A58" s="9"/>
      <c r="B58" s="9"/>
      <c r="C58" s="9" t="s">
        <v>118</v>
      </c>
      <c r="D58" s="10" t="s">
        <v>111</v>
      </c>
      <c r="E58" s="8"/>
      <c r="F58" s="9"/>
      <c r="G58" s="9"/>
    </row>
    <row r="59" spans="1:7" x14ac:dyDescent="0.35">
      <c r="A59" s="9"/>
      <c r="B59" s="9"/>
      <c r="C59" s="9"/>
      <c r="D59" s="9"/>
      <c r="E59" s="9"/>
      <c r="F59" s="9"/>
      <c r="G59" s="9"/>
    </row>
    <row r="60" spans="1:7" x14ac:dyDescent="0.35">
      <c r="A60" s="9" t="s">
        <v>133</v>
      </c>
      <c r="B60" s="9" t="s">
        <v>10</v>
      </c>
      <c r="C60" s="9" t="s">
        <v>110</v>
      </c>
      <c r="D60" s="14"/>
      <c r="E60" s="10" t="s">
        <v>117</v>
      </c>
      <c r="F60" s="9"/>
      <c r="G60" s="9"/>
    </row>
    <row r="61" spans="1:7" x14ac:dyDescent="0.35">
      <c r="A61" s="9"/>
      <c r="B61" s="9"/>
      <c r="C61" s="9" t="s">
        <v>112</v>
      </c>
      <c r="D61" s="9"/>
      <c r="E61" s="10" t="s">
        <v>117</v>
      </c>
      <c r="F61" s="9"/>
      <c r="G61" s="9"/>
    </row>
    <row r="62" spans="1:7" x14ac:dyDescent="0.35">
      <c r="A62" s="9"/>
      <c r="B62" s="9"/>
      <c r="C62" s="9" t="s">
        <v>114</v>
      </c>
      <c r="D62" s="14"/>
      <c r="E62" s="10" t="s">
        <v>117</v>
      </c>
      <c r="F62" s="9"/>
      <c r="G62" s="9"/>
    </row>
    <row r="63" spans="1:7" x14ac:dyDescent="0.35">
      <c r="A63" s="9"/>
      <c r="B63" s="9"/>
      <c r="C63" s="9" t="s">
        <v>118</v>
      </c>
      <c r="D63" s="10" t="s">
        <v>111</v>
      </c>
      <c r="E63" s="8"/>
      <c r="F63" s="9"/>
      <c r="G63" s="9"/>
    </row>
    <row r="64" spans="1:7" x14ac:dyDescent="0.35">
      <c r="A64" s="9"/>
      <c r="B64" s="9"/>
      <c r="C64" s="9"/>
      <c r="D64" s="8"/>
      <c r="E64" s="8"/>
      <c r="F64" s="9"/>
      <c r="G64" s="9"/>
    </row>
    <row r="65" spans="1:7" x14ac:dyDescent="0.35">
      <c r="A65" s="9" t="s">
        <v>134</v>
      </c>
      <c r="B65" s="9" t="s">
        <v>135</v>
      </c>
      <c r="C65" s="9" t="s">
        <v>110</v>
      </c>
      <c r="D65" s="10" t="s">
        <v>111</v>
      </c>
      <c r="E65" s="10"/>
      <c r="F65" s="9"/>
      <c r="G65" s="9"/>
    </row>
    <row r="66" spans="1:7" x14ac:dyDescent="0.35">
      <c r="A66" s="9"/>
      <c r="B66" s="9"/>
      <c r="C66" s="9" t="s">
        <v>112</v>
      </c>
      <c r="D66" s="10" t="s">
        <v>111</v>
      </c>
      <c r="E66" s="10"/>
      <c r="F66" s="9"/>
      <c r="G66" s="9"/>
    </row>
    <row r="67" spans="1:7" x14ac:dyDescent="0.35">
      <c r="A67" s="9"/>
      <c r="B67" s="9"/>
      <c r="C67" s="9" t="s">
        <v>114</v>
      </c>
      <c r="D67" s="8"/>
      <c r="E67" s="10" t="s">
        <v>117</v>
      </c>
      <c r="F67" s="9"/>
      <c r="G67" s="9"/>
    </row>
    <row r="68" spans="1:7" x14ac:dyDescent="0.35">
      <c r="A68" s="9"/>
      <c r="B68" s="9"/>
      <c r="C68" s="9" t="s">
        <v>118</v>
      </c>
      <c r="D68" s="10" t="s">
        <v>111</v>
      </c>
      <c r="E68" s="8"/>
      <c r="F68" s="9"/>
      <c r="G68" s="9"/>
    </row>
    <row r="69" spans="1:7" x14ac:dyDescent="0.35">
      <c r="A69" s="9"/>
      <c r="B69" s="9"/>
      <c r="C69" s="9"/>
      <c r="D69" s="8"/>
      <c r="E69" s="8"/>
      <c r="F69" s="9"/>
      <c r="G69" s="9"/>
    </row>
    <row r="70" spans="1:7" x14ac:dyDescent="0.35">
      <c r="A70" s="9" t="s">
        <v>136</v>
      </c>
      <c r="B70" s="9" t="s">
        <v>12</v>
      </c>
      <c r="C70" s="9" t="s">
        <v>110</v>
      </c>
      <c r="D70" s="10" t="s">
        <v>111</v>
      </c>
      <c r="E70" s="8"/>
      <c r="F70" s="9"/>
      <c r="G70" s="9"/>
    </row>
    <row r="71" spans="1:7" x14ac:dyDescent="0.35">
      <c r="A71" s="9"/>
      <c r="B71" s="9"/>
      <c r="C71" s="9" t="s">
        <v>112</v>
      </c>
      <c r="D71" s="10" t="s">
        <v>111</v>
      </c>
      <c r="E71" s="8"/>
      <c r="F71" s="9"/>
      <c r="G71" s="9"/>
    </row>
    <row r="72" spans="1:7" x14ac:dyDescent="0.35">
      <c r="A72" s="9"/>
      <c r="B72" s="9"/>
      <c r="C72" s="9" t="s">
        <v>114</v>
      </c>
      <c r="D72" s="8"/>
      <c r="E72" s="10" t="s">
        <v>117</v>
      </c>
      <c r="F72" s="9"/>
      <c r="G72" s="9"/>
    </row>
    <row r="73" spans="1:7" x14ac:dyDescent="0.35">
      <c r="A73" s="9"/>
      <c r="B73" s="9"/>
      <c r="C73" s="9" t="s">
        <v>118</v>
      </c>
      <c r="D73" s="10" t="s">
        <v>111</v>
      </c>
      <c r="E73" s="8"/>
      <c r="F73" s="9"/>
      <c r="G73" s="9"/>
    </row>
    <row r="74" spans="1:7" x14ac:dyDescent="0.35">
      <c r="A74" s="9"/>
      <c r="B74" s="9"/>
      <c r="C74" s="9"/>
      <c r="D74" s="9"/>
      <c r="E74" s="9"/>
      <c r="F74" s="9"/>
      <c r="G74" s="9"/>
    </row>
    <row r="75" spans="1:7" x14ac:dyDescent="0.35">
      <c r="A75" s="9" t="s">
        <v>137</v>
      </c>
      <c r="B75" s="9" t="s">
        <v>13</v>
      </c>
      <c r="C75" s="9" t="s">
        <v>110</v>
      </c>
      <c r="D75" s="10" t="s">
        <v>111</v>
      </c>
      <c r="E75" s="9"/>
      <c r="F75" s="9"/>
      <c r="G75" s="9"/>
    </row>
    <row r="76" spans="1:7" x14ac:dyDescent="0.35">
      <c r="A76" s="9"/>
      <c r="B76" s="9"/>
      <c r="C76" s="9" t="s">
        <v>112</v>
      </c>
      <c r="D76" s="10" t="s">
        <v>111</v>
      </c>
      <c r="E76" s="9"/>
      <c r="F76" s="9"/>
      <c r="G76" s="9"/>
    </row>
    <row r="77" spans="1:7" x14ac:dyDescent="0.35">
      <c r="A77" s="9"/>
      <c r="B77" s="9"/>
      <c r="C77" s="9" t="s">
        <v>114</v>
      </c>
      <c r="D77" s="10" t="s">
        <v>111</v>
      </c>
      <c r="E77" s="9"/>
      <c r="F77" s="9"/>
      <c r="G77" s="9"/>
    </row>
    <row r="78" spans="1:7" x14ac:dyDescent="0.35">
      <c r="A78" s="9"/>
      <c r="B78" s="9"/>
      <c r="C78" s="9" t="s">
        <v>118</v>
      </c>
      <c r="D78" s="10" t="s">
        <v>111</v>
      </c>
      <c r="E78" s="9"/>
      <c r="F78" s="9"/>
      <c r="G78" s="9"/>
    </row>
    <row r="79" spans="1:7" x14ac:dyDescent="0.35">
      <c r="A79" s="9"/>
      <c r="B79" s="9"/>
      <c r="C79" s="9"/>
      <c r="D79" s="9"/>
      <c r="E79" s="9"/>
      <c r="F79" s="9"/>
      <c r="G79" s="9"/>
    </row>
    <row r="80" spans="1:7" x14ac:dyDescent="0.35">
      <c r="A80" s="9" t="s">
        <v>138</v>
      </c>
      <c r="B80" s="9" t="s">
        <v>14</v>
      </c>
      <c r="C80" s="9" t="s">
        <v>110</v>
      </c>
      <c r="D80" s="10" t="s">
        <v>111</v>
      </c>
      <c r="E80" s="8"/>
      <c r="F80" s="9"/>
      <c r="G80" s="9"/>
    </row>
    <row r="81" spans="1:7" x14ac:dyDescent="0.35">
      <c r="A81" s="9"/>
      <c r="B81" s="9"/>
      <c r="C81" s="9" t="s">
        <v>112</v>
      </c>
      <c r="D81" s="10" t="s">
        <v>111</v>
      </c>
      <c r="E81" s="8"/>
      <c r="F81" s="9"/>
      <c r="G81" s="9"/>
    </row>
    <row r="82" spans="1:7" x14ac:dyDescent="0.35">
      <c r="A82" s="9"/>
      <c r="B82" s="9"/>
      <c r="C82" s="9" t="s">
        <v>114</v>
      </c>
      <c r="D82" s="10" t="s">
        <v>111</v>
      </c>
      <c r="E82" s="8"/>
      <c r="F82" s="9"/>
      <c r="G82" s="9"/>
    </row>
    <row r="83" spans="1:7" x14ac:dyDescent="0.35">
      <c r="A83" s="9"/>
      <c r="B83" s="9"/>
      <c r="C83" s="9" t="s">
        <v>118</v>
      </c>
      <c r="D83" s="10" t="s">
        <v>111</v>
      </c>
      <c r="E83" s="8"/>
      <c r="F83" s="9"/>
      <c r="G83" s="9"/>
    </row>
    <row r="84" spans="1:7" x14ac:dyDescent="0.35">
      <c r="A84" s="9"/>
      <c r="B84" s="9"/>
      <c r="C84" s="9"/>
      <c r="D84" s="8"/>
      <c r="E84" s="8"/>
      <c r="F84" s="9"/>
      <c r="G84" s="9"/>
    </row>
    <row r="85" spans="1:7" x14ac:dyDescent="0.35">
      <c r="A85" s="9" t="s">
        <v>139</v>
      </c>
      <c r="B85" s="9" t="s">
        <v>15</v>
      </c>
      <c r="C85" s="9" t="s">
        <v>110</v>
      </c>
      <c r="D85" s="10" t="s">
        <v>111</v>
      </c>
      <c r="E85" s="8"/>
      <c r="F85" s="9"/>
      <c r="G85" s="9"/>
    </row>
    <row r="86" spans="1:7" x14ac:dyDescent="0.35">
      <c r="A86" s="9"/>
      <c r="B86" s="9"/>
      <c r="C86" s="9" t="s">
        <v>140</v>
      </c>
      <c r="D86" s="8"/>
      <c r="E86" s="10" t="s">
        <v>117</v>
      </c>
      <c r="F86" s="9"/>
      <c r="G86" s="9"/>
    </row>
    <row r="87" spans="1:7" x14ac:dyDescent="0.35">
      <c r="A87" s="9"/>
      <c r="B87" s="9"/>
      <c r="C87" s="9" t="s">
        <v>114</v>
      </c>
      <c r="D87" s="10" t="s">
        <v>111</v>
      </c>
      <c r="E87" s="8"/>
      <c r="F87" s="9"/>
      <c r="G87" s="9"/>
    </row>
    <row r="88" spans="1:7" x14ac:dyDescent="0.35">
      <c r="A88" s="9"/>
      <c r="B88" s="9"/>
      <c r="C88" s="9" t="s">
        <v>118</v>
      </c>
      <c r="D88" s="10" t="s">
        <v>111</v>
      </c>
      <c r="E88" s="8"/>
      <c r="F88" s="9"/>
      <c r="G88" s="9"/>
    </row>
    <row r="89" spans="1:7" x14ac:dyDescent="0.35">
      <c r="A89" s="9"/>
      <c r="B89" s="9"/>
      <c r="C89" s="9"/>
      <c r="D89" s="9"/>
      <c r="E89" s="9"/>
      <c r="F89" s="9"/>
      <c r="G89" s="9"/>
    </row>
    <row r="90" spans="1:7" x14ac:dyDescent="0.35">
      <c r="A90" s="9" t="s">
        <v>141</v>
      </c>
      <c r="B90" s="9" t="s">
        <v>142</v>
      </c>
      <c r="C90" s="9" t="s">
        <v>110</v>
      </c>
      <c r="D90" s="10" t="s">
        <v>111</v>
      </c>
      <c r="E90" s="8"/>
      <c r="F90" s="9"/>
      <c r="G90" s="9"/>
    </row>
    <row r="91" spans="1:7" x14ac:dyDescent="0.35">
      <c r="A91" s="9"/>
      <c r="B91" s="9"/>
      <c r="C91" s="9" t="s">
        <v>112</v>
      </c>
      <c r="D91" s="10" t="s">
        <v>111</v>
      </c>
      <c r="E91" s="8"/>
      <c r="F91" s="9"/>
      <c r="G91" s="9"/>
    </row>
    <row r="92" spans="1:7" x14ac:dyDescent="0.35">
      <c r="A92" s="9"/>
      <c r="B92" s="9"/>
      <c r="C92" s="9" t="s">
        <v>114</v>
      </c>
      <c r="D92" s="10" t="s">
        <v>111</v>
      </c>
      <c r="E92" s="8"/>
      <c r="F92" s="9"/>
      <c r="G92" s="9"/>
    </row>
    <row r="93" spans="1:7" x14ac:dyDescent="0.35">
      <c r="A93" s="9"/>
      <c r="B93" s="9"/>
      <c r="C93" s="9" t="s">
        <v>118</v>
      </c>
      <c r="D93" s="10" t="s">
        <v>111</v>
      </c>
      <c r="E93" s="8"/>
      <c r="F93" s="9"/>
      <c r="G93" s="9"/>
    </row>
    <row r="94" spans="1:7" x14ac:dyDescent="0.35">
      <c r="A94" s="9"/>
      <c r="B94" s="9"/>
      <c r="C94" s="9"/>
      <c r="D94" s="8"/>
      <c r="E94" s="8"/>
      <c r="F94" s="9"/>
      <c r="G94" s="9"/>
    </row>
    <row r="95" spans="1:7" x14ac:dyDescent="0.35">
      <c r="A95" s="9" t="s">
        <v>143</v>
      </c>
      <c r="B95" s="9" t="s">
        <v>17</v>
      </c>
      <c r="C95" s="9" t="s">
        <v>110</v>
      </c>
      <c r="D95" s="10" t="s">
        <v>111</v>
      </c>
      <c r="E95" s="8"/>
      <c r="F95" s="9"/>
      <c r="G95" s="9"/>
    </row>
    <row r="96" spans="1:7" x14ac:dyDescent="0.35">
      <c r="A96" s="9"/>
      <c r="B96" s="9"/>
      <c r="C96" s="9" t="s">
        <v>112</v>
      </c>
      <c r="D96" s="10" t="s">
        <v>111</v>
      </c>
      <c r="E96" s="8"/>
      <c r="F96" s="9"/>
      <c r="G96" s="9"/>
    </row>
    <row r="97" spans="1:7" x14ac:dyDescent="0.35">
      <c r="A97" s="9"/>
      <c r="B97" s="9"/>
      <c r="C97" s="9" t="s">
        <v>114</v>
      </c>
      <c r="D97" s="10" t="s">
        <v>111</v>
      </c>
      <c r="E97" s="8"/>
      <c r="F97" s="9"/>
      <c r="G97" s="9"/>
    </row>
    <row r="98" spans="1:7" x14ac:dyDescent="0.35">
      <c r="A98" s="9"/>
      <c r="B98" s="9"/>
      <c r="C98" s="9" t="s">
        <v>118</v>
      </c>
      <c r="D98" s="10" t="s">
        <v>111</v>
      </c>
      <c r="E98" s="8"/>
      <c r="F98" s="9"/>
      <c r="G98" s="9"/>
    </row>
    <row r="99" spans="1:7" x14ac:dyDescent="0.35">
      <c r="A99" s="9"/>
      <c r="B99" s="9"/>
      <c r="C99" s="9"/>
      <c r="D99" s="8"/>
      <c r="E99" s="8"/>
      <c r="F99" s="9"/>
      <c r="G99" s="9"/>
    </row>
    <row r="100" spans="1:7" x14ac:dyDescent="0.35">
      <c r="A100" s="9" t="s">
        <v>144</v>
      </c>
      <c r="B100" s="9" t="s">
        <v>145</v>
      </c>
      <c r="C100" s="9" t="s">
        <v>110</v>
      </c>
      <c r="D100" s="10" t="s">
        <v>111</v>
      </c>
      <c r="E100" s="8"/>
      <c r="F100" s="9"/>
      <c r="G100" s="9"/>
    </row>
    <row r="101" spans="1:7" x14ac:dyDescent="0.35">
      <c r="A101" s="9"/>
      <c r="B101" s="9"/>
      <c r="C101" s="9" t="s">
        <v>112</v>
      </c>
      <c r="D101" s="8"/>
      <c r="E101" s="10" t="s">
        <v>117</v>
      </c>
      <c r="F101" s="9"/>
      <c r="G101" s="9"/>
    </row>
    <row r="102" spans="1:7" x14ac:dyDescent="0.35">
      <c r="A102" s="9"/>
      <c r="B102" s="9"/>
      <c r="C102" s="9" t="s">
        <v>114</v>
      </c>
      <c r="D102" s="10" t="s">
        <v>111</v>
      </c>
      <c r="E102" s="8"/>
      <c r="F102" s="9"/>
      <c r="G102" s="9"/>
    </row>
    <row r="103" spans="1:7" x14ac:dyDescent="0.35">
      <c r="A103" s="9"/>
      <c r="B103" s="9"/>
      <c r="C103" s="9" t="s">
        <v>118</v>
      </c>
      <c r="D103" s="10" t="s">
        <v>111</v>
      </c>
      <c r="E103" s="8"/>
      <c r="F103" s="9"/>
      <c r="G103" s="9"/>
    </row>
    <row r="104" spans="1:7" x14ac:dyDescent="0.35">
      <c r="A104" s="9"/>
      <c r="B104" s="9"/>
      <c r="C104" s="9"/>
      <c r="D104" s="8"/>
      <c r="E104" s="8"/>
      <c r="F104" s="9"/>
      <c r="G104" s="9"/>
    </row>
    <row r="105" spans="1:7" x14ac:dyDescent="0.35">
      <c r="A105" s="9" t="s">
        <v>146</v>
      </c>
      <c r="B105" s="9" t="s">
        <v>19</v>
      </c>
      <c r="C105" s="9" t="s">
        <v>110</v>
      </c>
      <c r="D105" s="10" t="s">
        <v>111</v>
      </c>
      <c r="E105" s="8"/>
      <c r="F105" s="9"/>
      <c r="G105" s="9"/>
    </row>
    <row r="106" spans="1:7" x14ac:dyDescent="0.35">
      <c r="A106" s="9"/>
      <c r="B106" s="9"/>
      <c r="C106" s="9" t="s">
        <v>112</v>
      </c>
      <c r="D106" s="10" t="s">
        <v>111</v>
      </c>
      <c r="E106" s="8"/>
      <c r="F106" s="9"/>
      <c r="G106" s="9"/>
    </row>
    <row r="107" spans="1:7" x14ac:dyDescent="0.35">
      <c r="A107" s="9"/>
      <c r="B107" s="9"/>
      <c r="C107" s="9" t="s">
        <v>147</v>
      </c>
      <c r="D107" s="8"/>
      <c r="E107" s="10" t="s">
        <v>117</v>
      </c>
      <c r="F107" s="9"/>
      <c r="G107" s="9"/>
    </row>
    <row r="108" spans="1:7" x14ac:dyDescent="0.35">
      <c r="A108" s="9"/>
      <c r="B108" s="9"/>
      <c r="C108" s="9" t="s">
        <v>118</v>
      </c>
      <c r="D108" s="10" t="s">
        <v>111</v>
      </c>
      <c r="E108" s="8"/>
      <c r="F108" s="9"/>
      <c r="G108" s="9"/>
    </row>
    <row r="109" spans="1:7" x14ac:dyDescent="0.35">
      <c r="A109" s="9"/>
      <c r="B109" s="9"/>
      <c r="C109" s="9"/>
      <c r="D109" s="8"/>
      <c r="E109" s="8"/>
      <c r="F109" s="9"/>
      <c r="G109" s="9"/>
    </row>
    <row r="110" spans="1:7" x14ac:dyDescent="0.35">
      <c r="A110" s="9" t="s">
        <v>148</v>
      </c>
      <c r="B110" s="9" t="s">
        <v>20</v>
      </c>
      <c r="C110" s="9" t="s">
        <v>110</v>
      </c>
      <c r="D110" s="10" t="s">
        <v>111</v>
      </c>
      <c r="E110" s="8"/>
      <c r="F110" s="9"/>
      <c r="G110" s="9"/>
    </row>
    <row r="111" spans="1:7" x14ac:dyDescent="0.35">
      <c r="A111" s="9"/>
      <c r="B111" s="9"/>
      <c r="C111" s="9" t="s">
        <v>112</v>
      </c>
      <c r="D111" s="10" t="s">
        <v>111</v>
      </c>
      <c r="E111" s="8"/>
      <c r="F111" s="9"/>
      <c r="G111" s="9"/>
    </row>
    <row r="112" spans="1:7" x14ac:dyDescent="0.35">
      <c r="A112" s="9"/>
      <c r="B112" s="9"/>
      <c r="C112" s="9" t="s">
        <v>114</v>
      </c>
      <c r="D112" s="8"/>
      <c r="E112" s="10" t="s">
        <v>117</v>
      </c>
      <c r="F112" s="9"/>
      <c r="G112" s="9"/>
    </row>
    <row r="113" spans="1:7" x14ac:dyDescent="0.35">
      <c r="A113" s="9"/>
      <c r="B113" s="9"/>
      <c r="C113" s="9" t="s">
        <v>118</v>
      </c>
      <c r="D113" s="10" t="s">
        <v>111</v>
      </c>
      <c r="E113" s="8"/>
      <c r="F113" s="9"/>
      <c r="G113" s="9"/>
    </row>
    <row r="114" spans="1:7" x14ac:dyDescent="0.35">
      <c r="A114" s="9"/>
      <c r="B114" s="9"/>
      <c r="C114" s="9"/>
      <c r="D114" s="9"/>
      <c r="E114" s="9"/>
      <c r="F114" s="9"/>
      <c r="G114" s="9"/>
    </row>
    <row r="115" spans="1:7" x14ac:dyDescent="0.35">
      <c r="A115" s="9" t="s">
        <v>149</v>
      </c>
      <c r="B115" s="9" t="s">
        <v>21</v>
      </c>
      <c r="C115" s="9" t="s">
        <v>110</v>
      </c>
      <c r="D115" s="8"/>
      <c r="E115" s="10" t="s">
        <v>117</v>
      </c>
      <c r="F115" s="9"/>
      <c r="G115" s="9"/>
    </row>
    <row r="116" spans="1:7" x14ac:dyDescent="0.35">
      <c r="A116" s="9"/>
      <c r="B116" s="9"/>
      <c r="C116" s="9" t="s">
        <v>112</v>
      </c>
      <c r="D116" s="8"/>
      <c r="E116" s="10" t="s">
        <v>117</v>
      </c>
      <c r="F116" s="9"/>
      <c r="G116" s="9"/>
    </row>
    <row r="117" spans="1:7" x14ac:dyDescent="0.35">
      <c r="A117" s="9"/>
      <c r="B117" s="9"/>
      <c r="C117" s="9" t="s">
        <v>114</v>
      </c>
      <c r="D117" s="10" t="s">
        <v>111</v>
      </c>
      <c r="E117" s="8"/>
      <c r="F117" s="9"/>
      <c r="G117" s="9"/>
    </row>
    <row r="118" spans="1:7" x14ac:dyDescent="0.35">
      <c r="A118" s="9"/>
      <c r="B118" s="9"/>
      <c r="C118" s="9" t="s">
        <v>118</v>
      </c>
      <c r="D118" s="10" t="s">
        <v>111</v>
      </c>
      <c r="E118" s="8"/>
      <c r="F118" s="9"/>
      <c r="G118" s="9"/>
    </row>
    <row r="119" spans="1:7" x14ac:dyDescent="0.35">
      <c r="A119" s="9"/>
      <c r="B119" s="9"/>
      <c r="C119" s="9"/>
      <c r="D119" s="9"/>
      <c r="E119" s="9"/>
      <c r="F119" s="9"/>
      <c r="G119" s="9"/>
    </row>
    <row r="120" spans="1:7" x14ac:dyDescent="0.35">
      <c r="A120" s="9" t="s">
        <v>150</v>
      </c>
      <c r="B120" s="9" t="s">
        <v>22</v>
      </c>
      <c r="C120" s="9" t="s">
        <v>110</v>
      </c>
      <c r="D120" s="10" t="s">
        <v>111</v>
      </c>
      <c r="E120" s="8"/>
      <c r="F120" s="9"/>
      <c r="G120" s="9"/>
    </row>
    <row r="121" spans="1:7" x14ac:dyDescent="0.35">
      <c r="A121" s="9"/>
      <c r="B121" s="9"/>
      <c r="C121" s="9" t="s">
        <v>112</v>
      </c>
      <c r="D121" s="10" t="s">
        <v>111</v>
      </c>
      <c r="E121" s="8"/>
      <c r="F121" s="9"/>
      <c r="G121" s="9"/>
    </row>
    <row r="122" spans="1:7" x14ac:dyDescent="0.35">
      <c r="A122" s="9"/>
      <c r="B122" s="9"/>
      <c r="C122" s="9" t="s">
        <v>114</v>
      </c>
      <c r="D122" s="10" t="s">
        <v>111</v>
      </c>
      <c r="E122" s="8"/>
      <c r="F122" s="9"/>
      <c r="G122" s="9"/>
    </row>
    <row r="123" spans="1:7" x14ac:dyDescent="0.35">
      <c r="A123" s="9"/>
      <c r="B123" s="9"/>
      <c r="C123" s="9" t="s">
        <v>118</v>
      </c>
      <c r="D123" s="10" t="s">
        <v>111</v>
      </c>
      <c r="E123" s="8"/>
      <c r="F123" s="9"/>
      <c r="G123" s="9"/>
    </row>
    <row r="124" spans="1:7" x14ac:dyDescent="0.35">
      <c r="A124" s="9"/>
      <c r="B124" s="9"/>
      <c r="C124" s="9"/>
      <c r="D124" s="8"/>
      <c r="E124" s="8"/>
      <c r="F124" s="9"/>
      <c r="G124" s="9"/>
    </row>
    <row r="125" spans="1:7" x14ac:dyDescent="0.35">
      <c r="A125" s="9" t="s">
        <v>151</v>
      </c>
      <c r="B125" s="9" t="s">
        <v>23</v>
      </c>
      <c r="C125" s="9" t="s">
        <v>110</v>
      </c>
      <c r="D125" s="10" t="s">
        <v>111</v>
      </c>
      <c r="E125" s="8"/>
      <c r="F125" s="9"/>
      <c r="G125" s="9"/>
    </row>
    <row r="126" spans="1:7" x14ac:dyDescent="0.35">
      <c r="A126" s="9"/>
      <c r="B126" s="9"/>
      <c r="C126" s="9" t="s">
        <v>112</v>
      </c>
      <c r="D126" s="8"/>
      <c r="E126" s="10" t="s">
        <v>117</v>
      </c>
      <c r="F126" s="9"/>
      <c r="G126" s="9"/>
    </row>
    <row r="127" spans="1:7" x14ac:dyDescent="0.35">
      <c r="A127" s="9"/>
      <c r="B127" s="9"/>
      <c r="C127" s="9" t="s">
        <v>114</v>
      </c>
      <c r="D127" s="10" t="s">
        <v>111</v>
      </c>
      <c r="E127" s="8"/>
      <c r="F127" s="9"/>
      <c r="G127" s="9"/>
    </row>
    <row r="128" spans="1:7" x14ac:dyDescent="0.35">
      <c r="A128" s="9"/>
      <c r="B128" s="9"/>
      <c r="C128" s="9" t="s">
        <v>118</v>
      </c>
      <c r="D128" s="10" t="s">
        <v>111</v>
      </c>
      <c r="E128" s="8"/>
      <c r="F128" s="9"/>
      <c r="G128" s="9"/>
    </row>
    <row r="129" spans="1:7" x14ac:dyDescent="0.35">
      <c r="A129" s="9"/>
      <c r="B129" s="9"/>
      <c r="C129" s="9"/>
      <c r="D129" s="8"/>
      <c r="E129" s="8"/>
      <c r="F129" s="9"/>
      <c r="G129" s="9"/>
    </row>
    <row r="130" spans="1:7" x14ac:dyDescent="0.35">
      <c r="A130" s="9" t="s">
        <v>152</v>
      </c>
      <c r="B130" s="9" t="s">
        <v>24</v>
      </c>
      <c r="C130" s="9" t="s">
        <v>110</v>
      </c>
      <c r="D130" s="8"/>
      <c r="E130" s="10" t="s">
        <v>117</v>
      </c>
      <c r="F130" s="9"/>
      <c r="G130" s="9"/>
    </row>
    <row r="131" spans="1:7" x14ac:dyDescent="0.35">
      <c r="A131" s="9"/>
      <c r="B131" s="9"/>
      <c r="C131" s="9" t="s">
        <v>112</v>
      </c>
      <c r="D131" s="8"/>
      <c r="E131" s="10" t="s">
        <v>117</v>
      </c>
      <c r="F131" s="9"/>
      <c r="G131" s="9"/>
    </row>
    <row r="132" spans="1:7" x14ac:dyDescent="0.35">
      <c r="A132" s="9"/>
      <c r="B132" s="9"/>
      <c r="C132" s="9" t="s">
        <v>114</v>
      </c>
      <c r="D132" s="10" t="s">
        <v>111</v>
      </c>
      <c r="E132" s="8"/>
      <c r="F132" s="9"/>
      <c r="G132" s="9"/>
    </row>
    <row r="133" spans="1:7" x14ac:dyDescent="0.35">
      <c r="A133" s="9"/>
      <c r="B133" s="9"/>
      <c r="C133" s="9" t="s">
        <v>118</v>
      </c>
      <c r="D133" s="10" t="s">
        <v>111</v>
      </c>
      <c r="E133" s="8"/>
      <c r="F133" s="9"/>
      <c r="G133" s="9"/>
    </row>
    <row r="134" spans="1:7" x14ac:dyDescent="0.35">
      <c r="A134" s="9"/>
      <c r="B134" s="9"/>
      <c r="C134" s="9"/>
      <c r="D134" s="8"/>
      <c r="E134" s="8"/>
      <c r="F134" s="9"/>
      <c r="G134" s="9"/>
    </row>
    <row r="135" spans="1:7" x14ac:dyDescent="0.35">
      <c r="A135" s="9" t="s">
        <v>153</v>
      </c>
      <c r="B135" s="9" t="s">
        <v>25</v>
      </c>
      <c r="C135" s="9" t="s">
        <v>110</v>
      </c>
      <c r="D135" s="10" t="s">
        <v>111</v>
      </c>
      <c r="E135" s="8"/>
      <c r="F135" s="9"/>
      <c r="G135" s="9"/>
    </row>
    <row r="136" spans="1:7" x14ac:dyDescent="0.35">
      <c r="A136" s="9"/>
      <c r="B136" s="9"/>
      <c r="C136" s="9" t="s">
        <v>112</v>
      </c>
      <c r="D136" s="8"/>
      <c r="E136" s="10" t="s">
        <v>117</v>
      </c>
      <c r="F136" s="9"/>
      <c r="G136" s="9"/>
    </row>
    <row r="137" spans="1:7" x14ac:dyDescent="0.35">
      <c r="A137" s="9"/>
      <c r="B137" s="9"/>
      <c r="C137" s="9" t="s">
        <v>114</v>
      </c>
      <c r="D137" s="10" t="s">
        <v>111</v>
      </c>
      <c r="E137" s="8"/>
      <c r="F137" s="9"/>
      <c r="G137" s="9"/>
    </row>
    <row r="138" spans="1:7" x14ac:dyDescent="0.35">
      <c r="A138" s="9"/>
      <c r="B138" s="9"/>
      <c r="C138" s="9" t="s">
        <v>118</v>
      </c>
      <c r="D138" s="10" t="s">
        <v>111</v>
      </c>
      <c r="E138" s="8"/>
      <c r="F138" s="9"/>
      <c r="G138" s="9"/>
    </row>
    <row r="139" spans="1:7" x14ac:dyDescent="0.35">
      <c r="A139" s="9"/>
      <c r="B139" s="9"/>
      <c r="C139" s="9"/>
      <c r="D139" s="8"/>
      <c r="E139" s="8"/>
      <c r="F139" s="9"/>
      <c r="G139" s="9"/>
    </row>
    <row r="140" spans="1:7" x14ac:dyDescent="0.35">
      <c r="A140" s="9" t="s">
        <v>154</v>
      </c>
      <c r="B140" s="9" t="s">
        <v>56</v>
      </c>
      <c r="C140" s="9" t="s">
        <v>110</v>
      </c>
      <c r="D140" s="10" t="s">
        <v>111</v>
      </c>
      <c r="E140" s="8"/>
      <c r="F140" s="9"/>
      <c r="G140" s="9"/>
    </row>
    <row r="141" spans="1:7" x14ac:dyDescent="0.35">
      <c r="A141" s="9"/>
      <c r="B141" s="9"/>
      <c r="C141" s="9" t="s">
        <v>112</v>
      </c>
      <c r="D141" s="10" t="s">
        <v>111</v>
      </c>
      <c r="E141" s="8"/>
      <c r="F141" s="9"/>
      <c r="G141" s="9"/>
    </row>
    <row r="142" spans="1:7" x14ac:dyDescent="0.35">
      <c r="A142" s="9"/>
      <c r="B142" s="9"/>
      <c r="C142" s="9" t="s">
        <v>114</v>
      </c>
      <c r="D142" s="10" t="s">
        <v>111</v>
      </c>
      <c r="E142" s="8"/>
      <c r="F142" s="9"/>
      <c r="G142" s="9"/>
    </row>
    <row r="143" spans="1:7" x14ac:dyDescent="0.35">
      <c r="A143" s="9"/>
      <c r="B143" s="9"/>
      <c r="C143" s="9" t="s">
        <v>118</v>
      </c>
      <c r="D143" s="10" t="s">
        <v>111</v>
      </c>
      <c r="E143" s="8"/>
      <c r="F143" s="9"/>
      <c r="G143" s="9"/>
    </row>
    <row r="144" spans="1:7" x14ac:dyDescent="0.35">
      <c r="A144" s="9"/>
      <c r="B144" s="9"/>
      <c r="C144" s="9"/>
      <c r="D144" s="8"/>
      <c r="E144" s="8"/>
      <c r="F144" s="9"/>
      <c r="G144" s="9"/>
    </row>
    <row r="145" spans="1:7" x14ac:dyDescent="0.35">
      <c r="A145" s="9" t="s">
        <v>155</v>
      </c>
      <c r="B145" s="9" t="s">
        <v>27</v>
      </c>
      <c r="C145" s="9" t="s">
        <v>110</v>
      </c>
      <c r="D145" s="10" t="s">
        <v>111</v>
      </c>
      <c r="E145" s="8"/>
      <c r="F145" s="9"/>
      <c r="G145" s="9"/>
    </row>
    <row r="146" spans="1:7" x14ac:dyDescent="0.35">
      <c r="A146" s="9"/>
      <c r="B146" s="9"/>
      <c r="C146" s="9" t="s">
        <v>112</v>
      </c>
      <c r="D146" s="10" t="s">
        <v>111</v>
      </c>
      <c r="E146" s="8"/>
      <c r="F146" s="9"/>
      <c r="G146" s="9"/>
    </row>
    <row r="147" spans="1:7" x14ac:dyDescent="0.35">
      <c r="A147" s="9"/>
      <c r="B147" s="9"/>
      <c r="C147" s="9" t="s">
        <v>114</v>
      </c>
      <c r="D147" s="10" t="s">
        <v>111</v>
      </c>
      <c r="E147" s="8"/>
      <c r="F147" s="9"/>
      <c r="G147" s="9"/>
    </row>
    <row r="148" spans="1:7" x14ac:dyDescent="0.35">
      <c r="A148" s="9"/>
      <c r="B148" s="9"/>
      <c r="C148" s="9" t="s">
        <v>118</v>
      </c>
      <c r="D148" s="10" t="s">
        <v>111</v>
      </c>
      <c r="E148" s="8"/>
      <c r="F148" s="9"/>
      <c r="G148" s="9"/>
    </row>
    <row r="149" spans="1:7" x14ac:dyDescent="0.35">
      <c r="A149" s="9"/>
      <c r="B149" s="9"/>
      <c r="C149" s="9"/>
      <c r="D149" s="8"/>
      <c r="E149" s="8"/>
      <c r="F149" s="9"/>
      <c r="G149" s="9"/>
    </row>
    <row r="150" spans="1:7" x14ac:dyDescent="0.35">
      <c r="A150" s="9" t="s">
        <v>156</v>
      </c>
      <c r="B150" s="9" t="s">
        <v>28</v>
      </c>
      <c r="C150" s="9" t="s">
        <v>110</v>
      </c>
      <c r="D150" s="10" t="s">
        <v>111</v>
      </c>
      <c r="E150" s="8"/>
      <c r="F150" s="9"/>
      <c r="G150" s="9"/>
    </row>
    <row r="151" spans="1:7" x14ac:dyDescent="0.35">
      <c r="A151" s="9"/>
      <c r="B151" s="9"/>
      <c r="C151" s="9" t="s">
        <v>112</v>
      </c>
      <c r="D151" s="10" t="s">
        <v>111</v>
      </c>
      <c r="E151" s="8"/>
      <c r="F151" s="9"/>
      <c r="G151" s="9"/>
    </row>
    <row r="152" spans="1:7" x14ac:dyDescent="0.35">
      <c r="A152" s="9"/>
      <c r="B152" s="9"/>
      <c r="C152" s="9" t="s">
        <v>114</v>
      </c>
      <c r="D152" s="8"/>
      <c r="E152" s="10" t="s">
        <v>117</v>
      </c>
      <c r="F152" s="9"/>
      <c r="G152" s="9"/>
    </row>
    <row r="153" spans="1:7" x14ac:dyDescent="0.35">
      <c r="A153" s="9"/>
      <c r="B153" s="9"/>
      <c r="C153" s="9" t="s">
        <v>118</v>
      </c>
      <c r="D153" s="10" t="s">
        <v>111</v>
      </c>
      <c r="E153" s="8"/>
      <c r="F153" s="9"/>
      <c r="G153" s="9"/>
    </row>
    <row r="154" spans="1:7" x14ac:dyDescent="0.35">
      <c r="A154" s="9"/>
      <c r="B154" s="9"/>
      <c r="C154" s="9"/>
      <c r="D154" s="8"/>
      <c r="E154" s="8"/>
      <c r="F154" s="9"/>
      <c r="G154" s="9"/>
    </row>
    <row r="155" spans="1:7" x14ac:dyDescent="0.35">
      <c r="A155" s="9" t="s">
        <v>157</v>
      </c>
      <c r="B155" s="9" t="s">
        <v>29</v>
      </c>
      <c r="C155" s="9" t="s">
        <v>110</v>
      </c>
      <c r="D155" s="10" t="s">
        <v>111</v>
      </c>
      <c r="E155" s="8"/>
      <c r="F155" s="9"/>
      <c r="G155" s="9"/>
    </row>
    <row r="156" spans="1:7" x14ac:dyDescent="0.35">
      <c r="A156" s="9"/>
      <c r="B156" s="9"/>
      <c r="C156" s="9" t="s">
        <v>112</v>
      </c>
      <c r="D156" s="8"/>
      <c r="E156" s="10" t="s">
        <v>117</v>
      </c>
      <c r="F156" s="9"/>
      <c r="G156" s="9"/>
    </row>
    <row r="157" spans="1:7" x14ac:dyDescent="0.35">
      <c r="A157" s="9"/>
      <c r="B157" s="9"/>
      <c r="C157" s="9" t="s">
        <v>114</v>
      </c>
      <c r="D157" s="10" t="s">
        <v>111</v>
      </c>
      <c r="E157" s="8"/>
      <c r="F157" s="9"/>
      <c r="G157" s="9"/>
    </row>
    <row r="158" spans="1:7" x14ac:dyDescent="0.35">
      <c r="A158" s="9"/>
      <c r="B158" s="9"/>
      <c r="C158" s="9" t="s">
        <v>118</v>
      </c>
      <c r="D158" s="10" t="s">
        <v>111</v>
      </c>
      <c r="E158" s="8"/>
      <c r="F158" s="9"/>
      <c r="G158" s="9"/>
    </row>
    <row r="159" spans="1:7" x14ac:dyDescent="0.35">
      <c r="A159" s="9"/>
      <c r="B159" s="9"/>
      <c r="C159" s="9"/>
      <c r="D159" s="8"/>
      <c r="E159" s="8"/>
      <c r="F159" s="9"/>
      <c r="G159" s="9"/>
    </row>
    <row r="160" spans="1:7" x14ac:dyDescent="0.35">
      <c r="A160" s="9" t="s">
        <v>158</v>
      </c>
      <c r="B160" s="9" t="s">
        <v>30</v>
      </c>
      <c r="C160" s="9" t="s">
        <v>110</v>
      </c>
      <c r="D160" s="10" t="s">
        <v>111</v>
      </c>
      <c r="E160" s="8"/>
      <c r="F160" s="9"/>
      <c r="G160" s="9"/>
    </row>
    <row r="161" spans="1:7" x14ac:dyDescent="0.35">
      <c r="A161" s="9"/>
      <c r="B161" s="9"/>
      <c r="C161" s="9" t="s">
        <v>112</v>
      </c>
      <c r="D161" s="10" t="s">
        <v>111</v>
      </c>
      <c r="E161" s="8"/>
      <c r="F161" s="9"/>
      <c r="G161" s="9"/>
    </row>
    <row r="162" spans="1:7" x14ac:dyDescent="0.35">
      <c r="A162" s="9"/>
      <c r="B162" s="9"/>
      <c r="C162" s="9" t="s">
        <v>114</v>
      </c>
      <c r="D162" s="10" t="s">
        <v>111</v>
      </c>
      <c r="E162" s="8"/>
      <c r="F162" s="9"/>
      <c r="G162" s="9"/>
    </row>
    <row r="163" spans="1:7" x14ac:dyDescent="0.35">
      <c r="A163" s="9"/>
      <c r="B163" s="9"/>
      <c r="C163" s="9" t="s">
        <v>118</v>
      </c>
      <c r="D163" s="10" t="s">
        <v>111</v>
      </c>
      <c r="E163" s="8"/>
      <c r="F163" s="9"/>
      <c r="G163" s="9"/>
    </row>
    <row r="164" spans="1:7" x14ac:dyDescent="0.35">
      <c r="A164" s="9"/>
      <c r="B164" s="9"/>
      <c r="C164" s="9"/>
      <c r="D164" s="8"/>
      <c r="E164" s="8"/>
      <c r="F164" s="9"/>
      <c r="G164" s="9"/>
    </row>
    <row r="165" spans="1:7" x14ac:dyDescent="0.35">
      <c r="A165" s="9" t="s">
        <v>159</v>
      </c>
      <c r="B165" s="9" t="s">
        <v>160</v>
      </c>
      <c r="C165" s="9" t="s">
        <v>161</v>
      </c>
      <c r="D165" s="10" t="s">
        <v>111</v>
      </c>
      <c r="E165" s="8"/>
      <c r="F165" s="9"/>
      <c r="G165" s="9"/>
    </row>
    <row r="166" spans="1:7" x14ac:dyDescent="0.35">
      <c r="A166" s="9"/>
      <c r="B166" s="9"/>
      <c r="C166" s="9" t="s">
        <v>112</v>
      </c>
      <c r="D166" s="10" t="s">
        <v>111</v>
      </c>
      <c r="E166" s="8"/>
      <c r="F166" s="9"/>
      <c r="G166" s="9"/>
    </row>
    <row r="167" spans="1:7" x14ac:dyDescent="0.35">
      <c r="A167" s="9"/>
      <c r="B167" s="9"/>
      <c r="C167" s="9" t="s">
        <v>114</v>
      </c>
      <c r="D167" s="10" t="s">
        <v>111</v>
      </c>
      <c r="E167" s="8"/>
      <c r="F167" s="9"/>
      <c r="G167" s="9"/>
    </row>
    <row r="168" spans="1:7" x14ac:dyDescent="0.35">
      <c r="A168" s="9"/>
      <c r="B168" s="9"/>
      <c r="C168" s="9" t="s">
        <v>118</v>
      </c>
      <c r="D168" s="10" t="s">
        <v>111</v>
      </c>
      <c r="E168" s="8"/>
      <c r="F168" s="9"/>
      <c r="G168" s="9"/>
    </row>
    <row r="169" spans="1:7" x14ac:dyDescent="0.35">
      <c r="A169" s="9"/>
      <c r="B169" s="9"/>
      <c r="C169" s="9"/>
      <c r="D169" s="8"/>
      <c r="E169" s="8"/>
      <c r="F169" s="9"/>
      <c r="G169" s="9"/>
    </row>
    <row r="170" spans="1:7" x14ac:dyDescent="0.35">
      <c r="A170" s="9" t="s">
        <v>162</v>
      </c>
      <c r="B170" s="9" t="s">
        <v>32</v>
      </c>
      <c r="C170" s="9" t="s">
        <v>110</v>
      </c>
      <c r="D170" s="8"/>
      <c r="E170" s="10" t="s">
        <v>117</v>
      </c>
      <c r="F170" s="9"/>
      <c r="G170" s="9"/>
    </row>
    <row r="171" spans="1:7" x14ac:dyDescent="0.35">
      <c r="A171" s="9"/>
      <c r="B171" s="9"/>
      <c r="C171" s="9" t="s">
        <v>112</v>
      </c>
      <c r="D171" s="10" t="s">
        <v>111</v>
      </c>
      <c r="E171" s="8"/>
      <c r="F171" s="9"/>
      <c r="G171" s="9"/>
    </row>
    <row r="172" spans="1:7" x14ac:dyDescent="0.35">
      <c r="A172" s="9"/>
      <c r="B172" s="9"/>
      <c r="C172" s="9" t="s">
        <v>114</v>
      </c>
      <c r="D172" s="10" t="s">
        <v>111</v>
      </c>
      <c r="E172" s="8"/>
      <c r="F172" s="9"/>
      <c r="G172" s="9"/>
    </row>
    <row r="173" spans="1:7" x14ac:dyDescent="0.35">
      <c r="A173" s="9"/>
      <c r="B173" s="9"/>
      <c r="C173" s="9" t="s">
        <v>118</v>
      </c>
      <c r="D173" s="8"/>
      <c r="E173" s="10" t="s">
        <v>117</v>
      </c>
      <c r="F173" s="9"/>
      <c r="G173" s="9"/>
    </row>
    <row r="174" spans="1:7" x14ac:dyDescent="0.35">
      <c r="A174" s="9"/>
      <c r="B174" s="9"/>
      <c r="C174" s="9"/>
      <c r="D174" s="8"/>
      <c r="E174" s="8"/>
      <c r="F174" s="9"/>
      <c r="G174" s="9"/>
    </row>
    <row r="175" spans="1:7" x14ac:dyDescent="0.35">
      <c r="A175" s="9" t="s">
        <v>163</v>
      </c>
      <c r="B175" s="9" t="s">
        <v>164</v>
      </c>
      <c r="C175" s="9" t="s">
        <v>110</v>
      </c>
      <c r="D175" s="10" t="s">
        <v>111</v>
      </c>
      <c r="E175" s="8"/>
      <c r="F175" s="9"/>
      <c r="G175" s="9"/>
    </row>
    <row r="176" spans="1:7" x14ac:dyDescent="0.35">
      <c r="A176" s="9"/>
      <c r="B176" s="9"/>
      <c r="C176" s="9" t="s">
        <v>112</v>
      </c>
      <c r="D176" s="10" t="s">
        <v>111</v>
      </c>
      <c r="E176" s="8"/>
      <c r="F176" s="9"/>
      <c r="G176" s="9"/>
    </row>
    <row r="177" spans="1:7" x14ac:dyDescent="0.35">
      <c r="A177" s="9"/>
      <c r="B177" s="9"/>
      <c r="C177" s="9" t="s">
        <v>114</v>
      </c>
      <c r="D177" s="10" t="s">
        <v>111</v>
      </c>
      <c r="E177" s="8"/>
      <c r="F177" s="9"/>
      <c r="G177" s="9"/>
    </row>
    <row r="178" spans="1:7" x14ac:dyDescent="0.35">
      <c r="A178" s="9"/>
      <c r="B178" s="9"/>
      <c r="C178" s="9" t="s">
        <v>118</v>
      </c>
      <c r="D178" s="10" t="s">
        <v>111</v>
      </c>
      <c r="E178" s="8"/>
      <c r="F178" s="9"/>
      <c r="G178" s="9"/>
    </row>
    <row r="179" spans="1:7" x14ac:dyDescent="0.35">
      <c r="A179" s="9"/>
      <c r="B179" s="9"/>
      <c r="C179" s="9"/>
      <c r="D179" s="8"/>
      <c r="E179" s="8"/>
      <c r="F179" s="9"/>
      <c r="G179" s="9"/>
    </row>
    <row r="180" spans="1:7" x14ac:dyDescent="0.35">
      <c r="A180" s="9" t="s">
        <v>165</v>
      </c>
      <c r="B180" s="9" t="s">
        <v>34</v>
      </c>
      <c r="C180" s="9" t="s">
        <v>110</v>
      </c>
      <c r="D180" s="10" t="s">
        <v>111</v>
      </c>
      <c r="E180" s="8"/>
      <c r="F180" s="9"/>
      <c r="G180" s="9"/>
    </row>
    <row r="181" spans="1:7" x14ac:dyDescent="0.35">
      <c r="A181" s="9"/>
      <c r="B181" s="9"/>
      <c r="C181" s="9" t="s">
        <v>112</v>
      </c>
      <c r="D181" s="10" t="s">
        <v>111</v>
      </c>
      <c r="E181" s="8"/>
      <c r="F181" s="9"/>
      <c r="G181" s="9"/>
    </row>
    <row r="182" spans="1:7" x14ac:dyDescent="0.35">
      <c r="A182" s="9"/>
      <c r="B182" s="9"/>
      <c r="C182" s="9" t="s">
        <v>114</v>
      </c>
      <c r="D182" s="8"/>
      <c r="E182" s="10" t="s">
        <v>117</v>
      </c>
      <c r="F182" s="9"/>
      <c r="G182" s="9"/>
    </row>
    <row r="183" spans="1:7" x14ac:dyDescent="0.35">
      <c r="A183" s="9"/>
      <c r="B183" s="9"/>
      <c r="C183" s="9" t="s">
        <v>118</v>
      </c>
      <c r="D183" s="10" t="s">
        <v>111</v>
      </c>
      <c r="E183" s="8"/>
      <c r="F183" s="9"/>
      <c r="G183" s="9"/>
    </row>
    <row r="184" spans="1:7" x14ac:dyDescent="0.35">
      <c r="A184" s="9"/>
      <c r="B184" s="9"/>
      <c r="C184" s="9"/>
      <c r="D184" s="8"/>
      <c r="E184" s="8"/>
      <c r="F184" s="9"/>
      <c r="G184" s="9"/>
    </row>
    <row r="185" spans="1:7" x14ac:dyDescent="0.35">
      <c r="A185" s="9" t="s">
        <v>166</v>
      </c>
      <c r="B185" s="9" t="s">
        <v>167</v>
      </c>
      <c r="C185" s="9" t="s">
        <v>110</v>
      </c>
      <c r="D185" s="10" t="s">
        <v>111</v>
      </c>
      <c r="E185" s="8"/>
      <c r="F185" s="9"/>
      <c r="G185" s="9"/>
    </row>
    <row r="186" spans="1:7" x14ac:dyDescent="0.35">
      <c r="A186" s="9"/>
      <c r="B186" s="9"/>
      <c r="C186" s="9" t="s">
        <v>112</v>
      </c>
      <c r="D186" s="8"/>
      <c r="E186" s="10" t="s">
        <v>117</v>
      </c>
      <c r="F186" s="9"/>
      <c r="G186" s="9"/>
    </row>
    <row r="187" spans="1:7" x14ac:dyDescent="0.35">
      <c r="A187" s="9"/>
      <c r="B187" s="9"/>
      <c r="C187" s="9" t="s">
        <v>114</v>
      </c>
      <c r="D187" s="10" t="s">
        <v>111</v>
      </c>
      <c r="E187" s="8"/>
      <c r="F187" s="9"/>
      <c r="G187" s="9"/>
    </row>
    <row r="188" spans="1:7" x14ac:dyDescent="0.35">
      <c r="A188" s="9"/>
      <c r="B188" s="9"/>
      <c r="C188" s="9" t="s">
        <v>118</v>
      </c>
      <c r="D188" s="10" t="s">
        <v>111</v>
      </c>
      <c r="E188" s="8"/>
      <c r="F188" s="9"/>
      <c r="G188" s="9"/>
    </row>
    <row r="189" spans="1:7" x14ac:dyDescent="0.35">
      <c r="A189" s="9"/>
      <c r="B189" s="9"/>
      <c r="C189" s="9"/>
      <c r="D189" s="8"/>
      <c r="E189" s="8"/>
      <c r="F189" s="9"/>
      <c r="G189" s="9"/>
    </row>
    <row r="190" spans="1:7" x14ac:dyDescent="0.35">
      <c r="A190" s="9" t="s">
        <v>168</v>
      </c>
      <c r="B190" s="9" t="s">
        <v>36</v>
      </c>
      <c r="C190" s="9" t="s">
        <v>110</v>
      </c>
      <c r="D190" s="10" t="s">
        <v>111</v>
      </c>
      <c r="E190" s="8"/>
      <c r="F190" s="9"/>
      <c r="G190" s="9"/>
    </row>
    <row r="191" spans="1:7" x14ac:dyDescent="0.35">
      <c r="A191" s="9"/>
      <c r="B191" s="9"/>
      <c r="C191" s="9" t="s">
        <v>112</v>
      </c>
      <c r="D191" s="10" t="s">
        <v>111</v>
      </c>
      <c r="E191" s="8"/>
      <c r="F191" s="9"/>
      <c r="G191" s="9"/>
    </row>
    <row r="192" spans="1:7" x14ac:dyDescent="0.35">
      <c r="A192" s="9"/>
      <c r="B192" s="9"/>
      <c r="C192" s="9" t="s">
        <v>114</v>
      </c>
      <c r="D192" s="8"/>
      <c r="E192" s="10" t="s">
        <v>117</v>
      </c>
      <c r="F192" s="9"/>
      <c r="G192" s="9"/>
    </row>
    <row r="193" spans="1:7" x14ac:dyDescent="0.35">
      <c r="A193" s="9"/>
      <c r="B193" s="9"/>
      <c r="C193" s="9" t="s">
        <v>118</v>
      </c>
      <c r="D193" s="10" t="s">
        <v>111</v>
      </c>
      <c r="E193" s="8"/>
      <c r="F193" s="9"/>
      <c r="G193" s="9"/>
    </row>
    <row r="194" spans="1:7" x14ac:dyDescent="0.35">
      <c r="A194" s="9"/>
      <c r="B194" s="9"/>
      <c r="C194" s="9"/>
      <c r="D194" s="8"/>
      <c r="E194" s="8"/>
      <c r="F194" s="9"/>
      <c r="G194" s="9"/>
    </row>
    <row r="195" spans="1:7" x14ac:dyDescent="0.35">
      <c r="A195" s="9" t="s">
        <v>169</v>
      </c>
      <c r="B195" s="9" t="s">
        <v>170</v>
      </c>
      <c r="C195" s="9" t="s">
        <v>110</v>
      </c>
      <c r="D195" s="10" t="s">
        <v>111</v>
      </c>
      <c r="E195" s="8"/>
      <c r="F195" s="9"/>
      <c r="G195" s="9"/>
    </row>
    <row r="196" spans="1:7" x14ac:dyDescent="0.35">
      <c r="A196" s="9"/>
      <c r="B196" s="9"/>
      <c r="C196" s="9" t="s">
        <v>112</v>
      </c>
      <c r="D196" s="8"/>
      <c r="E196" s="10" t="s">
        <v>117</v>
      </c>
      <c r="F196" s="9"/>
      <c r="G196" s="9"/>
    </row>
    <row r="197" spans="1:7" x14ac:dyDescent="0.35">
      <c r="A197" s="9"/>
      <c r="B197" s="9"/>
      <c r="C197" s="9" t="s">
        <v>114</v>
      </c>
      <c r="D197" s="10" t="s">
        <v>111</v>
      </c>
      <c r="E197" s="8"/>
      <c r="F197" s="9"/>
      <c r="G197" s="9"/>
    </row>
    <row r="198" spans="1:7" x14ac:dyDescent="0.35">
      <c r="A198" s="9"/>
      <c r="B198" s="9"/>
      <c r="C198" s="9" t="s">
        <v>118</v>
      </c>
      <c r="D198" s="10" t="s">
        <v>111</v>
      </c>
      <c r="E198" s="8"/>
      <c r="F198" s="9"/>
      <c r="G198" s="9"/>
    </row>
    <row r="199" spans="1:7" x14ac:dyDescent="0.35">
      <c r="A199" s="9"/>
      <c r="B199" s="9"/>
      <c r="C199" s="9"/>
      <c r="D199" s="8"/>
      <c r="E199" s="8"/>
      <c r="F199" s="9"/>
      <c r="G199" s="9"/>
    </row>
    <row r="200" spans="1:7" x14ac:dyDescent="0.35">
      <c r="A200" s="9" t="s">
        <v>171</v>
      </c>
      <c r="B200" s="9" t="s">
        <v>58</v>
      </c>
      <c r="C200" s="9" t="s">
        <v>110</v>
      </c>
      <c r="D200" s="10" t="s">
        <v>111</v>
      </c>
      <c r="E200" s="8"/>
      <c r="F200" s="9"/>
      <c r="G200" s="9"/>
    </row>
    <row r="201" spans="1:7" x14ac:dyDescent="0.35">
      <c r="A201" s="9"/>
      <c r="B201" s="9"/>
      <c r="C201" s="9" t="s">
        <v>112</v>
      </c>
      <c r="D201" s="10" t="s">
        <v>111</v>
      </c>
      <c r="E201" s="8"/>
      <c r="F201" s="9"/>
      <c r="G201" s="9"/>
    </row>
    <row r="202" spans="1:7" x14ac:dyDescent="0.35">
      <c r="A202" s="9"/>
      <c r="B202" s="9"/>
      <c r="C202" s="9" t="s">
        <v>114</v>
      </c>
      <c r="D202" s="8"/>
      <c r="E202" s="10" t="s">
        <v>117</v>
      </c>
      <c r="F202" s="9"/>
      <c r="G202" s="9"/>
    </row>
    <row r="203" spans="1:7" x14ac:dyDescent="0.35">
      <c r="A203" s="9"/>
      <c r="B203" s="9"/>
      <c r="C203" s="9" t="s">
        <v>118</v>
      </c>
      <c r="D203" s="10" t="s">
        <v>111</v>
      </c>
      <c r="E203" s="8"/>
      <c r="F203" s="9"/>
      <c r="G203" s="9"/>
    </row>
    <row r="204" spans="1:7" x14ac:dyDescent="0.35">
      <c r="A204" s="9"/>
      <c r="B204" s="9"/>
      <c r="C204" s="9"/>
      <c r="D204" s="8"/>
      <c r="E204" s="8"/>
      <c r="F204" s="9"/>
      <c r="G204" s="9"/>
    </row>
    <row r="205" spans="1:7" x14ac:dyDescent="0.35">
      <c r="A205" s="9" t="s">
        <v>172</v>
      </c>
      <c r="B205" s="9" t="s">
        <v>39</v>
      </c>
      <c r="C205" s="9" t="s">
        <v>110</v>
      </c>
      <c r="D205" s="10" t="s">
        <v>111</v>
      </c>
      <c r="E205" s="8"/>
      <c r="F205" s="9"/>
      <c r="G205" s="9"/>
    </row>
    <row r="206" spans="1:7" x14ac:dyDescent="0.35">
      <c r="A206" s="9"/>
      <c r="B206" s="9"/>
      <c r="C206" s="9" t="s">
        <v>112</v>
      </c>
      <c r="D206" s="8"/>
      <c r="E206" s="10" t="s">
        <v>117</v>
      </c>
      <c r="F206" s="9"/>
      <c r="G206" s="9"/>
    </row>
    <row r="207" spans="1:7" x14ac:dyDescent="0.35">
      <c r="A207" s="9"/>
      <c r="B207" s="9"/>
      <c r="C207" s="9" t="s">
        <v>114</v>
      </c>
      <c r="D207" s="10" t="s">
        <v>111</v>
      </c>
      <c r="E207" s="8"/>
      <c r="F207" s="9"/>
      <c r="G207" s="9"/>
    </row>
    <row r="208" spans="1:7" x14ac:dyDescent="0.35">
      <c r="A208" s="9"/>
      <c r="B208" s="9"/>
      <c r="C208" s="9" t="s">
        <v>118</v>
      </c>
      <c r="D208" s="10" t="s">
        <v>111</v>
      </c>
      <c r="E208" s="8"/>
      <c r="F208" s="9"/>
      <c r="G208" s="9"/>
    </row>
    <row r="209" spans="1:7" x14ac:dyDescent="0.35">
      <c r="A209" s="9"/>
      <c r="B209" s="9"/>
      <c r="C209" s="9"/>
      <c r="D209" s="8"/>
      <c r="E209" s="8"/>
      <c r="F209" s="9"/>
      <c r="G209" s="9"/>
    </row>
    <row r="210" spans="1:7" x14ac:dyDescent="0.35">
      <c r="A210" s="9" t="s">
        <v>173</v>
      </c>
      <c r="B210" s="9" t="s">
        <v>40</v>
      </c>
      <c r="C210" s="9" t="s">
        <v>110</v>
      </c>
      <c r="D210" s="10" t="s">
        <v>111</v>
      </c>
      <c r="E210" s="8"/>
      <c r="F210" s="9"/>
      <c r="G210" s="9"/>
    </row>
    <row r="211" spans="1:7" x14ac:dyDescent="0.35">
      <c r="A211" s="9"/>
      <c r="B211" s="9"/>
      <c r="C211" s="9" t="s">
        <v>112</v>
      </c>
      <c r="D211" s="10" t="s">
        <v>111</v>
      </c>
      <c r="E211" s="8"/>
      <c r="F211" s="9"/>
      <c r="G211" s="9"/>
    </row>
    <row r="212" spans="1:7" x14ac:dyDescent="0.35">
      <c r="A212" s="9"/>
      <c r="B212" s="9"/>
      <c r="C212" s="9" t="s">
        <v>114</v>
      </c>
      <c r="D212" s="10" t="s">
        <v>111</v>
      </c>
      <c r="E212" s="8"/>
      <c r="F212" s="9"/>
      <c r="G212" s="9"/>
    </row>
    <row r="213" spans="1:7" x14ac:dyDescent="0.35">
      <c r="A213" s="9"/>
      <c r="B213" s="9"/>
      <c r="C213" s="9" t="s">
        <v>118</v>
      </c>
      <c r="D213" s="8"/>
      <c r="E213" s="10" t="s">
        <v>117</v>
      </c>
      <c r="F213" s="9"/>
      <c r="G213" s="9"/>
    </row>
  </sheetData>
  <mergeCells count="5">
    <mergeCell ref="A1:C1"/>
    <mergeCell ref="A3:A4"/>
    <mergeCell ref="B3:B4"/>
    <mergeCell ref="C3:C4"/>
    <mergeCell ref="D3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EA7F7-1B2D-42D6-91DF-F7203EF1FF0D}">
  <dimension ref="A1:H44"/>
  <sheetViews>
    <sheetView tabSelected="1" zoomScale="75" zoomScaleNormal="75" workbookViewId="0">
      <selection activeCell="F43" sqref="F43"/>
    </sheetView>
  </sheetViews>
  <sheetFormatPr defaultRowHeight="14.5" x14ac:dyDescent="0.35"/>
  <cols>
    <col min="2" max="2" width="31.453125" customWidth="1"/>
    <col min="8" max="8" width="11.54296875" customWidth="1"/>
  </cols>
  <sheetData>
    <row r="1" spans="1:8" ht="15.5" x14ac:dyDescent="0.35">
      <c r="A1" s="19" t="s">
        <v>48</v>
      </c>
      <c r="B1" s="19" t="s">
        <v>47</v>
      </c>
      <c r="C1" s="34" t="s">
        <v>41</v>
      </c>
      <c r="D1" s="34" t="s">
        <v>42</v>
      </c>
      <c r="E1" s="34" t="s">
        <v>43</v>
      </c>
      <c r="F1" s="34" t="s">
        <v>44</v>
      </c>
      <c r="G1" s="34" t="s">
        <v>45</v>
      </c>
      <c r="H1" s="34" t="s">
        <v>49</v>
      </c>
    </row>
    <row r="2" spans="1:8" ht="15.5" x14ac:dyDescent="0.35">
      <c r="A2" s="19">
        <v>1</v>
      </c>
      <c r="B2" s="20" t="s">
        <v>61</v>
      </c>
      <c r="C2" s="34">
        <v>10</v>
      </c>
      <c r="D2" s="34">
        <v>15</v>
      </c>
      <c r="E2" s="34">
        <v>15</v>
      </c>
      <c r="F2" s="34">
        <v>10</v>
      </c>
      <c r="G2" s="34">
        <v>10</v>
      </c>
      <c r="H2" s="34">
        <f>SUM(C2:G2)</f>
        <v>60</v>
      </c>
    </row>
    <row r="3" spans="1:8" ht="15.5" x14ac:dyDescent="0.35">
      <c r="A3" s="19">
        <v>2</v>
      </c>
      <c r="B3" s="20" t="s">
        <v>62</v>
      </c>
      <c r="C3" s="34">
        <v>10</v>
      </c>
      <c r="D3" s="34">
        <v>10</v>
      </c>
      <c r="E3" s="34">
        <v>15</v>
      </c>
      <c r="F3" s="34">
        <v>10</v>
      </c>
      <c r="G3" s="34">
        <v>20</v>
      </c>
      <c r="H3" s="34">
        <f t="shared" ref="H3:H42" si="0">SUM(C3:G3)</f>
        <v>65</v>
      </c>
    </row>
    <row r="4" spans="1:8" ht="15.5" x14ac:dyDescent="0.35">
      <c r="A4" s="19">
        <v>3</v>
      </c>
      <c r="B4" s="20" t="s">
        <v>63</v>
      </c>
      <c r="C4" s="34">
        <v>15</v>
      </c>
      <c r="D4" s="34">
        <v>15</v>
      </c>
      <c r="E4" s="34">
        <v>15</v>
      </c>
      <c r="F4" s="34">
        <v>15</v>
      </c>
      <c r="G4" s="34">
        <v>15</v>
      </c>
      <c r="H4" s="34">
        <f t="shared" si="0"/>
        <v>75</v>
      </c>
    </row>
    <row r="5" spans="1:8" ht="15.5" x14ac:dyDescent="0.35">
      <c r="A5" s="19">
        <v>4</v>
      </c>
      <c r="B5" s="20" t="s">
        <v>64</v>
      </c>
      <c r="C5" s="34">
        <v>10</v>
      </c>
      <c r="D5" s="34">
        <v>10</v>
      </c>
      <c r="E5" s="34">
        <v>15</v>
      </c>
      <c r="F5" s="34">
        <v>20</v>
      </c>
      <c r="G5" s="34">
        <v>20</v>
      </c>
      <c r="H5" s="34">
        <f t="shared" si="0"/>
        <v>75</v>
      </c>
    </row>
    <row r="6" spans="1:8" ht="15.5" x14ac:dyDescent="0.35">
      <c r="A6" s="19">
        <v>5</v>
      </c>
      <c r="B6" s="20" t="s">
        <v>65</v>
      </c>
      <c r="C6" s="34">
        <v>10</v>
      </c>
      <c r="D6" s="34">
        <v>10</v>
      </c>
      <c r="E6" s="34">
        <v>10</v>
      </c>
      <c r="F6" s="34">
        <v>10</v>
      </c>
      <c r="G6" s="34">
        <v>20</v>
      </c>
      <c r="H6" s="34">
        <f t="shared" si="0"/>
        <v>60</v>
      </c>
    </row>
    <row r="7" spans="1:8" ht="15.5" x14ac:dyDescent="0.35">
      <c r="A7" s="19">
        <v>6</v>
      </c>
      <c r="B7" s="20" t="s">
        <v>66</v>
      </c>
      <c r="C7" s="34">
        <v>10</v>
      </c>
      <c r="D7" s="34">
        <v>10</v>
      </c>
      <c r="E7" s="34">
        <v>10</v>
      </c>
      <c r="F7" s="34">
        <v>15</v>
      </c>
      <c r="G7" s="34">
        <v>20</v>
      </c>
      <c r="H7" s="34">
        <f t="shared" si="0"/>
        <v>65</v>
      </c>
    </row>
    <row r="8" spans="1:8" ht="15.5" x14ac:dyDescent="0.35">
      <c r="A8" s="19">
        <v>7</v>
      </c>
      <c r="B8" s="20" t="s">
        <v>67</v>
      </c>
      <c r="C8" s="34">
        <v>10</v>
      </c>
      <c r="D8" s="34">
        <v>10</v>
      </c>
      <c r="E8" s="34">
        <v>20</v>
      </c>
      <c r="F8" s="34">
        <v>10</v>
      </c>
      <c r="G8" s="34">
        <v>10</v>
      </c>
      <c r="H8" s="34">
        <f t="shared" si="0"/>
        <v>60</v>
      </c>
    </row>
    <row r="9" spans="1:8" ht="15.5" x14ac:dyDescent="0.35">
      <c r="A9" s="19">
        <v>8</v>
      </c>
      <c r="B9" s="20" t="s">
        <v>68</v>
      </c>
      <c r="C9" s="34">
        <v>10</v>
      </c>
      <c r="D9" s="34">
        <v>10</v>
      </c>
      <c r="E9" s="34">
        <v>10</v>
      </c>
      <c r="F9" s="34">
        <v>20</v>
      </c>
      <c r="G9" s="34">
        <v>10</v>
      </c>
      <c r="H9" s="34">
        <f t="shared" si="0"/>
        <v>60</v>
      </c>
    </row>
    <row r="10" spans="1:8" ht="15.5" x14ac:dyDescent="0.35">
      <c r="A10" s="19">
        <v>9</v>
      </c>
      <c r="B10" s="20" t="s">
        <v>69</v>
      </c>
      <c r="C10" s="34">
        <v>15</v>
      </c>
      <c r="D10" s="34">
        <v>15</v>
      </c>
      <c r="E10" s="34">
        <v>15</v>
      </c>
      <c r="F10" s="34">
        <v>10</v>
      </c>
      <c r="G10" s="34">
        <v>20</v>
      </c>
      <c r="H10" s="34">
        <f t="shared" si="0"/>
        <v>75</v>
      </c>
    </row>
    <row r="11" spans="1:8" ht="15.5" x14ac:dyDescent="0.35">
      <c r="A11" s="19">
        <v>10</v>
      </c>
      <c r="B11" s="20" t="s">
        <v>70</v>
      </c>
      <c r="C11" s="34">
        <v>10</v>
      </c>
      <c r="D11" s="34">
        <v>10</v>
      </c>
      <c r="E11" s="34">
        <v>10</v>
      </c>
      <c r="F11" s="34">
        <v>15</v>
      </c>
      <c r="G11" s="34">
        <v>20</v>
      </c>
      <c r="H11" s="34">
        <f t="shared" si="0"/>
        <v>65</v>
      </c>
    </row>
    <row r="12" spans="1:8" ht="15.5" x14ac:dyDescent="0.35">
      <c r="A12" s="19">
        <v>11</v>
      </c>
      <c r="B12" s="20" t="s">
        <v>71</v>
      </c>
      <c r="C12" s="34">
        <v>10</v>
      </c>
      <c r="D12" s="34">
        <v>15</v>
      </c>
      <c r="E12" s="34">
        <v>10</v>
      </c>
      <c r="F12" s="34">
        <v>20</v>
      </c>
      <c r="G12" s="34">
        <v>10</v>
      </c>
      <c r="H12" s="34">
        <f t="shared" si="0"/>
        <v>65</v>
      </c>
    </row>
    <row r="13" spans="1:8" ht="15.5" x14ac:dyDescent="0.35">
      <c r="A13" s="19">
        <v>12</v>
      </c>
      <c r="B13" s="20" t="s">
        <v>72</v>
      </c>
      <c r="C13" s="34">
        <v>10</v>
      </c>
      <c r="D13" s="34">
        <v>10</v>
      </c>
      <c r="E13" s="34">
        <v>10</v>
      </c>
      <c r="F13" s="34">
        <v>20</v>
      </c>
      <c r="G13" s="34">
        <v>10</v>
      </c>
      <c r="H13" s="34">
        <f t="shared" si="0"/>
        <v>60</v>
      </c>
    </row>
    <row r="14" spans="1:8" ht="15.5" x14ac:dyDescent="0.35">
      <c r="A14" s="19">
        <v>13</v>
      </c>
      <c r="B14" s="20" t="s">
        <v>73</v>
      </c>
      <c r="C14" s="34">
        <v>10</v>
      </c>
      <c r="D14" s="34">
        <v>10</v>
      </c>
      <c r="E14" s="34">
        <v>10</v>
      </c>
      <c r="F14" s="34">
        <v>20</v>
      </c>
      <c r="G14" s="34">
        <v>10</v>
      </c>
      <c r="H14" s="34">
        <f t="shared" si="0"/>
        <v>60</v>
      </c>
    </row>
    <row r="15" spans="1:8" ht="15.5" x14ac:dyDescent="0.35">
      <c r="A15" s="19">
        <v>14</v>
      </c>
      <c r="B15" s="20" t="s">
        <v>74</v>
      </c>
      <c r="C15" s="34">
        <v>10</v>
      </c>
      <c r="D15" s="34">
        <v>10</v>
      </c>
      <c r="E15" s="34">
        <v>20</v>
      </c>
      <c r="F15" s="34">
        <v>10</v>
      </c>
      <c r="G15" s="34">
        <v>10</v>
      </c>
      <c r="H15" s="34">
        <f t="shared" si="0"/>
        <v>60</v>
      </c>
    </row>
    <row r="16" spans="1:8" ht="15.5" x14ac:dyDescent="0.35">
      <c r="A16" s="19">
        <v>15</v>
      </c>
      <c r="B16" s="20" t="s">
        <v>75</v>
      </c>
      <c r="C16" s="34">
        <v>20</v>
      </c>
      <c r="D16" s="34">
        <v>10</v>
      </c>
      <c r="E16" s="34">
        <v>10</v>
      </c>
      <c r="F16" s="34">
        <v>10</v>
      </c>
      <c r="G16" s="34">
        <v>10</v>
      </c>
      <c r="H16" s="34">
        <f t="shared" si="0"/>
        <v>60</v>
      </c>
    </row>
    <row r="17" spans="1:8" ht="15.5" x14ac:dyDescent="0.35">
      <c r="A17" s="19">
        <v>16</v>
      </c>
      <c r="B17" s="20" t="s">
        <v>76</v>
      </c>
      <c r="C17" s="34">
        <v>10</v>
      </c>
      <c r="D17" s="34">
        <v>20</v>
      </c>
      <c r="E17" s="34">
        <v>10</v>
      </c>
      <c r="F17" s="34">
        <v>10</v>
      </c>
      <c r="G17" s="34">
        <v>10</v>
      </c>
      <c r="H17" s="34">
        <f t="shared" si="0"/>
        <v>60</v>
      </c>
    </row>
    <row r="18" spans="1:8" ht="15.5" x14ac:dyDescent="0.35">
      <c r="A18" s="19">
        <v>17</v>
      </c>
      <c r="B18" s="20" t="s">
        <v>77</v>
      </c>
      <c r="C18" s="34">
        <v>20</v>
      </c>
      <c r="D18" s="34">
        <v>10</v>
      </c>
      <c r="E18" s="34">
        <v>10</v>
      </c>
      <c r="F18" s="34">
        <v>10</v>
      </c>
      <c r="G18" s="34">
        <v>15</v>
      </c>
      <c r="H18" s="34">
        <f t="shared" si="0"/>
        <v>65</v>
      </c>
    </row>
    <row r="19" spans="1:8" ht="15.5" x14ac:dyDescent="0.35">
      <c r="A19" s="19">
        <v>18</v>
      </c>
      <c r="B19" s="20" t="s">
        <v>78</v>
      </c>
      <c r="C19" s="34">
        <v>10</v>
      </c>
      <c r="D19" s="34">
        <v>10</v>
      </c>
      <c r="E19" s="34">
        <v>20</v>
      </c>
      <c r="F19" s="34">
        <v>10</v>
      </c>
      <c r="G19" s="34">
        <v>10</v>
      </c>
      <c r="H19" s="34">
        <f t="shared" si="0"/>
        <v>60</v>
      </c>
    </row>
    <row r="20" spans="1:8" ht="15.5" x14ac:dyDescent="0.35">
      <c r="A20" s="19">
        <v>19</v>
      </c>
      <c r="B20" s="20" t="s">
        <v>79</v>
      </c>
      <c r="C20" s="34">
        <v>10</v>
      </c>
      <c r="D20" s="34">
        <v>20</v>
      </c>
      <c r="E20" s="34">
        <v>15</v>
      </c>
      <c r="F20" s="34">
        <v>15</v>
      </c>
      <c r="G20" s="34">
        <v>15</v>
      </c>
      <c r="H20" s="34">
        <f t="shared" si="0"/>
        <v>75</v>
      </c>
    </row>
    <row r="21" spans="1:8" ht="15.5" x14ac:dyDescent="0.35">
      <c r="A21" s="19">
        <v>20</v>
      </c>
      <c r="B21" s="20" t="s">
        <v>80</v>
      </c>
      <c r="C21" s="34">
        <v>15</v>
      </c>
      <c r="D21" s="34">
        <v>15</v>
      </c>
      <c r="E21" s="34">
        <v>15</v>
      </c>
      <c r="F21" s="34">
        <v>20</v>
      </c>
      <c r="G21" s="34">
        <v>10</v>
      </c>
      <c r="H21" s="34">
        <f t="shared" si="0"/>
        <v>75</v>
      </c>
    </row>
    <row r="22" spans="1:8" ht="15.5" x14ac:dyDescent="0.35">
      <c r="A22" s="19">
        <v>21</v>
      </c>
      <c r="B22" s="20" t="s">
        <v>81</v>
      </c>
      <c r="C22" s="34">
        <v>20</v>
      </c>
      <c r="D22" s="34">
        <v>10</v>
      </c>
      <c r="E22" s="34">
        <v>20</v>
      </c>
      <c r="F22" s="34">
        <v>10</v>
      </c>
      <c r="G22" s="34">
        <v>10</v>
      </c>
      <c r="H22" s="34">
        <f t="shared" si="0"/>
        <v>70</v>
      </c>
    </row>
    <row r="23" spans="1:8" ht="15.5" x14ac:dyDescent="0.35">
      <c r="A23" s="19">
        <v>22</v>
      </c>
      <c r="B23" s="20" t="s">
        <v>82</v>
      </c>
      <c r="C23" s="34">
        <v>10</v>
      </c>
      <c r="D23" s="34">
        <v>10</v>
      </c>
      <c r="E23" s="34">
        <v>10</v>
      </c>
      <c r="F23" s="34">
        <v>15</v>
      </c>
      <c r="G23" s="34">
        <v>20</v>
      </c>
      <c r="H23" s="34">
        <f t="shared" si="0"/>
        <v>65</v>
      </c>
    </row>
    <row r="24" spans="1:8" ht="15.5" x14ac:dyDescent="0.35">
      <c r="A24" s="19">
        <v>23</v>
      </c>
      <c r="B24" s="20" t="s">
        <v>83</v>
      </c>
      <c r="C24" s="34">
        <v>10</v>
      </c>
      <c r="D24" s="34">
        <v>10</v>
      </c>
      <c r="E24" s="34">
        <v>10</v>
      </c>
      <c r="F24" s="34">
        <v>20</v>
      </c>
      <c r="G24" s="34">
        <v>10</v>
      </c>
      <c r="H24" s="34">
        <f t="shared" si="0"/>
        <v>60</v>
      </c>
    </row>
    <row r="25" spans="1:8" ht="15.5" x14ac:dyDescent="0.35">
      <c r="A25" s="19">
        <v>24</v>
      </c>
      <c r="B25" s="20" t="s">
        <v>84</v>
      </c>
      <c r="C25" s="34">
        <v>10</v>
      </c>
      <c r="D25" s="34">
        <v>10</v>
      </c>
      <c r="E25" s="34">
        <v>10</v>
      </c>
      <c r="F25" s="34">
        <v>15</v>
      </c>
      <c r="G25" s="34">
        <v>20</v>
      </c>
      <c r="H25" s="34">
        <f t="shared" si="0"/>
        <v>65</v>
      </c>
    </row>
    <row r="26" spans="1:8" ht="15.5" x14ac:dyDescent="0.35">
      <c r="A26" s="19">
        <v>25</v>
      </c>
      <c r="B26" s="20" t="s">
        <v>85</v>
      </c>
      <c r="C26" s="34">
        <v>10</v>
      </c>
      <c r="D26" s="34">
        <v>10</v>
      </c>
      <c r="E26" s="34">
        <v>10</v>
      </c>
      <c r="F26" s="34">
        <v>20</v>
      </c>
      <c r="G26" s="34">
        <v>10</v>
      </c>
      <c r="H26" s="34">
        <f t="shared" si="0"/>
        <v>60</v>
      </c>
    </row>
    <row r="27" spans="1:8" ht="15.5" x14ac:dyDescent="0.35">
      <c r="A27" s="19">
        <v>26</v>
      </c>
      <c r="B27" s="20" t="s">
        <v>86</v>
      </c>
      <c r="C27" s="34">
        <v>15</v>
      </c>
      <c r="D27" s="34">
        <v>10</v>
      </c>
      <c r="E27" s="34">
        <v>10</v>
      </c>
      <c r="F27" s="34">
        <v>20</v>
      </c>
      <c r="G27" s="34">
        <v>10</v>
      </c>
      <c r="H27" s="34">
        <f t="shared" si="0"/>
        <v>65</v>
      </c>
    </row>
    <row r="28" spans="1:8" ht="15.5" x14ac:dyDescent="0.35">
      <c r="A28" s="19">
        <v>27</v>
      </c>
      <c r="B28" s="20" t="s">
        <v>87</v>
      </c>
      <c r="C28" s="34">
        <v>10</v>
      </c>
      <c r="D28" s="34">
        <v>10</v>
      </c>
      <c r="E28" s="34">
        <v>10</v>
      </c>
      <c r="F28" s="34">
        <v>10</v>
      </c>
      <c r="G28" s="34">
        <v>20</v>
      </c>
      <c r="H28" s="34">
        <f t="shared" si="0"/>
        <v>60</v>
      </c>
    </row>
    <row r="29" spans="1:8" ht="15.5" x14ac:dyDescent="0.35">
      <c r="A29" s="19">
        <v>28</v>
      </c>
      <c r="B29" s="20" t="s">
        <v>88</v>
      </c>
      <c r="C29" s="34">
        <v>10</v>
      </c>
      <c r="D29" s="34">
        <v>10</v>
      </c>
      <c r="E29" s="34">
        <v>20</v>
      </c>
      <c r="F29" s="34">
        <v>10</v>
      </c>
      <c r="G29" s="34">
        <v>10</v>
      </c>
      <c r="H29" s="34">
        <f t="shared" si="0"/>
        <v>60</v>
      </c>
    </row>
    <row r="30" spans="1:8" ht="15.5" x14ac:dyDescent="0.35">
      <c r="A30" s="19">
        <v>29</v>
      </c>
      <c r="B30" s="20" t="s">
        <v>89</v>
      </c>
      <c r="C30" s="34">
        <v>20</v>
      </c>
      <c r="D30" s="34">
        <v>20</v>
      </c>
      <c r="E30" s="34">
        <v>10</v>
      </c>
      <c r="F30" s="34">
        <v>10</v>
      </c>
      <c r="G30" s="34">
        <v>10</v>
      </c>
      <c r="H30" s="34">
        <f t="shared" si="0"/>
        <v>70</v>
      </c>
    </row>
    <row r="31" spans="1:8" ht="15.5" x14ac:dyDescent="0.35">
      <c r="A31" s="19">
        <v>30</v>
      </c>
      <c r="B31" s="20" t="s">
        <v>90</v>
      </c>
      <c r="C31" s="34">
        <v>20</v>
      </c>
      <c r="D31" s="34">
        <v>15</v>
      </c>
      <c r="E31" s="34">
        <v>10</v>
      </c>
      <c r="F31" s="34">
        <v>10</v>
      </c>
      <c r="G31" s="34">
        <v>10</v>
      </c>
      <c r="H31" s="34">
        <f t="shared" si="0"/>
        <v>65</v>
      </c>
    </row>
    <row r="32" spans="1:8" ht="15.5" x14ac:dyDescent="0.35">
      <c r="A32" s="19">
        <v>31</v>
      </c>
      <c r="B32" s="20" t="s">
        <v>91</v>
      </c>
      <c r="C32" s="34">
        <v>10</v>
      </c>
      <c r="D32" s="34">
        <v>20</v>
      </c>
      <c r="E32" s="34">
        <v>10</v>
      </c>
      <c r="F32" s="34">
        <v>10</v>
      </c>
      <c r="G32" s="34">
        <v>10</v>
      </c>
      <c r="H32" s="34">
        <f t="shared" si="0"/>
        <v>60</v>
      </c>
    </row>
    <row r="33" spans="1:8" ht="15.5" x14ac:dyDescent="0.35">
      <c r="A33" s="19">
        <v>32</v>
      </c>
      <c r="B33" s="20" t="s">
        <v>92</v>
      </c>
      <c r="C33" s="34">
        <v>10</v>
      </c>
      <c r="D33" s="34">
        <v>10</v>
      </c>
      <c r="E33" s="34">
        <v>10</v>
      </c>
      <c r="F33" s="34">
        <v>20</v>
      </c>
      <c r="G33" s="34">
        <v>20</v>
      </c>
      <c r="H33" s="34">
        <f t="shared" si="0"/>
        <v>70</v>
      </c>
    </row>
    <row r="34" spans="1:8" ht="15.5" x14ac:dyDescent="0.35">
      <c r="A34" s="19">
        <v>33</v>
      </c>
      <c r="B34" s="20" t="s">
        <v>93</v>
      </c>
      <c r="C34" s="34">
        <v>10</v>
      </c>
      <c r="D34" s="34">
        <v>10</v>
      </c>
      <c r="E34" s="34">
        <v>20</v>
      </c>
      <c r="F34" s="34">
        <v>10</v>
      </c>
      <c r="G34" s="34">
        <v>10</v>
      </c>
      <c r="H34" s="34">
        <f t="shared" si="0"/>
        <v>60</v>
      </c>
    </row>
    <row r="35" spans="1:8" ht="15.5" x14ac:dyDescent="0.35">
      <c r="A35" s="19">
        <v>34</v>
      </c>
      <c r="B35" s="20" t="s">
        <v>94</v>
      </c>
      <c r="C35" s="34">
        <v>10</v>
      </c>
      <c r="D35" s="34">
        <v>10</v>
      </c>
      <c r="E35" s="34">
        <v>20</v>
      </c>
      <c r="F35" s="34">
        <v>10</v>
      </c>
      <c r="G35" s="34">
        <v>10</v>
      </c>
      <c r="H35" s="34">
        <f t="shared" si="0"/>
        <v>60</v>
      </c>
    </row>
    <row r="36" spans="1:8" ht="15.5" x14ac:dyDescent="0.35">
      <c r="A36" s="19">
        <v>35</v>
      </c>
      <c r="B36" s="20" t="s">
        <v>95</v>
      </c>
      <c r="C36" s="34">
        <v>20</v>
      </c>
      <c r="D36" s="34">
        <v>15</v>
      </c>
      <c r="E36" s="34">
        <v>10</v>
      </c>
      <c r="F36" s="34">
        <v>10</v>
      </c>
      <c r="G36" s="34">
        <v>10</v>
      </c>
      <c r="H36" s="34">
        <f t="shared" si="0"/>
        <v>65</v>
      </c>
    </row>
    <row r="37" spans="1:8" ht="15.5" x14ac:dyDescent="0.35">
      <c r="A37" s="19">
        <v>36</v>
      </c>
      <c r="B37" s="20" t="s">
        <v>96</v>
      </c>
      <c r="C37" s="34">
        <v>10</v>
      </c>
      <c r="D37" s="34">
        <v>10</v>
      </c>
      <c r="E37" s="34">
        <v>20</v>
      </c>
      <c r="F37" s="34">
        <v>10</v>
      </c>
      <c r="G37" s="34">
        <v>15</v>
      </c>
      <c r="H37" s="34">
        <f t="shared" si="0"/>
        <v>65</v>
      </c>
    </row>
    <row r="38" spans="1:8" ht="15.5" x14ac:dyDescent="0.35">
      <c r="A38" s="19">
        <v>37</v>
      </c>
      <c r="B38" s="20" t="s">
        <v>98</v>
      </c>
      <c r="C38" s="34">
        <v>10</v>
      </c>
      <c r="D38" s="34">
        <v>10</v>
      </c>
      <c r="E38" s="34">
        <v>20</v>
      </c>
      <c r="F38" s="34">
        <v>15</v>
      </c>
      <c r="G38" s="34">
        <v>10</v>
      </c>
      <c r="H38" s="34">
        <f t="shared" si="0"/>
        <v>65</v>
      </c>
    </row>
    <row r="39" spans="1:8" ht="15.5" x14ac:dyDescent="0.35">
      <c r="A39" s="19">
        <v>38</v>
      </c>
      <c r="B39" s="20" t="s">
        <v>97</v>
      </c>
      <c r="C39" s="34">
        <v>10</v>
      </c>
      <c r="D39" s="34">
        <v>20</v>
      </c>
      <c r="E39" s="34">
        <v>10</v>
      </c>
      <c r="F39" s="34">
        <v>10</v>
      </c>
      <c r="G39" s="34">
        <v>10</v>
      </c>
      <c r="H39" s="34">
        <f t="shared" si="0"/>
        <v>60</v>
      </c>
    </row>
    <row r="40" spans="1:8" ht="15.5" x14ac:dyDescent="0.35">
      <c r="A40" s="19">
        <v>39</v>
      </c>
      <c r="B40" s="20" t="s">
        <v>99</v>
      </c>
      <c r="C40" s="34">
        <v>10</v>
      </c>
      <c r="D40" s="34">
        <v>10</v>
      </c>
      <c r="E40" s="34">
        <v>15</v>
      </c>
      <c r="F40" s="34">
        <v>10</v>
      </c>
      <c r="G40" s="34">
        <v>20</v>
      </c>
      <c r="H40" s="34">
        <f t="shared" si="0"/>
        <v>65</v>
      </c>
    </row>
    <row r="41" spans="1:8" ht="15.5" x14ac:dyDescent="0.35">
      <c r="A41" s="19">
        <v>40</v>
      </c>
      <c r="B41" s="20" t="s">
        <v>100</v>
      </c>
      <c r="C41" s="34">
        <v>20</v>
      </c>
      <c r="D41" s="34">
        <v>15</v>
      </c>
      <c r="E41" s="34">
        <v>10</v>
      </c>
      <c r="F41" s="34">
        <v>10</v>
      </c>
      <c r="G41" s="34">
        <v>10</v>
      </c>
      <c r="H41" s="34">
        <f t="shared" si="0"/>
        <v>65</v>
      </c>
    </row>
    <row r="42" spans="1:8" ht="15.5" x14ac:dyDescent="0.35">
      <c r="A42" s="19">
        <v>41</v>
      </c>
      <c r="B42" s="20" t="s">
        <v>101</v>
      </c>
      <c r="C42" s="34">
        <v>10</v>
      </c>
      <c r="D42" s="34">
        <v>15</v>
      </c>
      <c r="E42" s="34">
        <v>20</v>
      </c>
      <c r="F42" s="34">
        <v>10</v>
      </c>
      <c r="G42" s="34">
        <v>10</v>
      </c>
      <c r="H42" s="34">
        <f t="shared" si="0"/>
        <v>65</v>
      </c>
    </row>
    <row r="43" spans="1:8" ht="15.5" x14ac:dyDescent="0.35">
      <c r="A43" s="19"/>
      <c r="B43" s="20" t="s">
        <v>174</v>
      </c>
      <c r="C43" s="34">
        <f>SUM(C2:C42)</f>
        <v>500</v>
      </c>
      <c r="D43" s="34">
        <f t="shared" ref="D43:H43" si="1">SUM(D2:D42)</f>
        <v>505</v>
      </c>
      <c r="E43" s="34">
        <f t="shared" si="1"/>
        <v>550</v>
      </c>
      <c r="F43" s="34">
        <f t="shared" si="1"/>
        <v>545</v>
      </c>
      <c r="G43" s="34">
        <f t="shared" si="1"/>
        <v>540</v>
      </c>
      <c r="H43" s="34">
        <f t="shared" si="1"/>
        <v>2640</v>
      </c>
    </row>
    <row r="44" spans="1:8" ht="15.5" x14ac:dyDescent="0.35">
      <c r="A44" s="21"/>
      <c r="B44" s="20" t="s">
        <v>202</v>
      </c>
      <c r="C44" s="35">
        <f>AVERAGE(C2:C42)</f>
        <v>12.195121951219512</v>
      </c>
      <c r="D44" s="35">
        <f t="shared" ref="D44:H44" si="2">AVERAGE(D2:D42)</f>
        <v>12.317073170731707</v>
      </c>
      <c r="E44" s="35">
        <f t="shared" si="2"/>
        <v>13.414634146341463</v>
      </c>
      <c r="F44" s="35">
        <f t="shared" si="2"/>
        <v>13.292682926829269</v>
      </c>
      <c r="G44" s="35">
        <f t="shared" si="2"/>
        <v>13.170731707317072</v>
      </c>
      <c r="H44" s="35">
        <f t="shared" si="2"/>
        <v>64.390243902439025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34673-4BE7-494A-8B3C-56CB381E6B41}">
  <dimension ref="A1:H44"/>
  <sheetViews>
    <sheetView zoomScale="89" zoomScaleNormal="89" workbookViewId="0">
      <selection activeCell="I7" sqref="I7"/>
    </sheetView>
  </sheetViews>
  <sheetFormatPr defaultRowHeight="14.5" x14ac:dyDescent="0.35"/>
  <cols>
    <col min="2" max="2" width="31" customWidth="1"/>
  </cols>
  <sheetData>
    <row r="1" spans="1:8" ht="15.5" x14ac:dyDescent="0.35">
      <c r="A1" s="33" t="s">
        <v>48</v>
      </c>
      <c r="B1" s="33" t="s">
        <v>47</v>
      </c>
      <c r="C1" s="16" t="s">
        <v>41</v>
      </c>
      <c r="D1" s="16" t="s">
        <v>42</v>
      </c>
      <c r="E1" s="16" t="s">
        <v>43</v>
      </c>
      <c r="F1" s="16" t="s">
        <v>44</v>
      </c>
      <c r="G1" s="16" t="s">
        <v>45</v>
      </c>
      <c r="H1" s="16" t="s">
        <v>49</v>
      </c>
    </row>
    <row r="2" spans="1:8" ht="15.5" x14ac:dyDescent="0.35">
      <c r="A2" s="19">
        <v>1</v>
      </c>
      <c r="B2" s="20" t="s">
        <v>61</v>
      </c>
      <c r="C2" s="34">
        <v>10</v>
      </c>
      <c r="D2" s="34">
        <v>10</v>
      </c>
      <c r="E2" s="34">
        <v>10</v>
      </c>
      <c r="F2" s="34">
        <v>20</v>
      </c>
      <c r="G2" s="34">
        <v>20</v>
      </c>
      <c r="H2" s="34">
        <f>SUM(C2:G2)</f>
        <v>70</v>
      </c>
    </row>
    <row r="3" spans="1:8" ht="15.5" x14ac:dyDescent="0.35">
      <c r="A3" s="19">
        <v>2</v>
      </c>
      <c r="B3" s="20" t="s">
        <v>62</v>
      </c>
      <c r="C3" s="34">
        <v>10</v>
      </c>
      <c r="D3" s="34">
        <v>10</v>
      </c>
      <c r="E3" s="34">
        <v>10</v>
      </c>
      <c r="F3" s="34">
        <v>20</v>
      </c>
      <c r="G3" s="34">
        <v>20</v>
      </c>
      <c r="H3" s="34">
        <f t="shared" ref="H3:H42" si="0">SUM(C3:G3)</f>
        <v>70</v>
      </c>
    </row>
    <row r="4" spans="1:8" ht="15.5" x14ac:dyDescent="0.35">
      <c r="A4" s="19">
        <v>3</v>
      </c>
      <c r="B4" s="20" t="s">
        <v>63</v>
      </c>
      <c r="C4" s="34">
        <v>10</v>
      </c>
      <c r="D4" s="34">
        <v>15</v>
      </c>
      <c r="E4" s="34">
        <v>20</v>
      </c>
      <c r="F4" s="34">
        <v>15</v>
      </c>
      <c r="G4" s="34">
        <v>20</v>
      </c>
      <c r="H4" s="34">
        <f t="shared" si="0"/>
        <v>80</v>
      </c>
    </row>
    <row r="5" spans="1:8" ht="15.5" x14ac:dyDescent="0.35">
      <c r="A5" s="19">
        <v>4</v>
      </c>
      <c r="B5" s="20" t="s">
        <v>64</v>
      </c>
      <c r="C5" s="34">
        <v>20</v>
      </c>
      <c r="D5" s="34">
        <v>20</v>
      </c>
      <c r="E5" s="34">
        <v>10</v>
      </c>
      <c r="F5" s="34">
        <v>20</v>
      </c>
      <c r="G5" s="34">
        <v>10</v>
      </c>
      <c r="H5" s="34">
        <f t="shared" si="0"/>
        <v>80</v>
      </c>
    </row>
    <row r="6" spans="1:8" ht="15.5" x14ac:dyDescent="0.35">
      <c r="A6" s="19">
        <v>5</v>
      </c>
      <c r="B6" s="20" t="s">
        <v>65</v>
      </c>
      <c r="C6" s="34">
        <v>10</v>
      </c>
      <c r="D6" s="34">
        <v>10</v>
      </c>
      <c r="E6" s="34">
        <v>10</v>
      </c>
      <c r="F6" s="34">
        <v>20</v>
      </c>
      <c r="G6" s="34">
        <v>20</v>
      </c>
      <c r="H6" s="34">
        <f t="shared" si="0"/>
        <v>70</v>
      </c>
    </row>
    <row r="7" spans="1:8" ht="15.5" x14ac:dyDescent="0.35">
      <c r="A7" s="19">
        <v>6</v>
      </c>
      <c r="B7" s="20" t="s">
        <v>66</v>
      </c>
      <c r="C7" s="34">
        <v>20</v>
      </c>
      <c r="D7" s="34">
        <v>20</v>
      </c>
      <c r="E7" s="34">
        <v>15</v>
      </c>
      <c r="F7" s="34">
        <v>10</v>
      </c>
      <c r="G7" s="34">
        <v>10</v>
      </c>
      <c r="H7" s="34">
        <f t="shared" si="0"/>
        <v>75</v>
      </c>
    </row>
    <row r="8" spans="1:8" ht="15.5" x14ac:dyDescent="0.35">
      <c r="A8" s="19">
        <v>7</v>
      </c>
      <c r="B8" s="20" t="s">
        <v>67</v>
      </c>
      <c r="C8" s="34">
        <v>10</v>
      </c>
      <c r="D8" s="34">
        <v>10</v>
      </c>
      <c r="E8" s="34">
        <v>20</v>
      </c>
      <c r="F8" s="34">
        <v>20</v>
      </c>
      <c r="G8" s="34">
        <v>10</v>
      </c>
      <c r="H8" s="34">
        <f t="shared" si="0"/>
        <v>70</v>
      </c>
    </row>
    <row r="9" spans="1:8" ht="15.5" x14ac:dyDescent="0.35">
      <c r="A9" s="19">
        <v>8</v>
      </c>
      <c r="B9" s="20" t="s">
        <v>68</v>
      </c>
      <c r="C9" s="34">
        <v>10</v>
      </c>
      <c r="D9" s="34">
        <v>10</v>
      </c>
      <c r="E9" s="34">
        <v>20</v>
      </c>
      <c r="F9" s="34">
        <v>20</v>
      </c>
      <c r="G9" s="34">
        <v>10</v>
      </c>
      <c r="H9" s="34">
        <f t="shared" si="0"/>
        <v>70</v>
      </c>
    </row>
    <row r="10" spans="1:8" ht="15.5" x14ac:dyDescent="0.35">
      <c r="A10" s="19">
        <v>9</v>
      </c>
      <c r="B10" s="20" t="s">
        <v>69</v>
      </c>
      <c r="C10" s="34">
        <v>10</v>
      </c>
      <c r="D10" s="34">
        <v>20</v>
      </c>
      <c r="E10" s="34">
        <v>20</v>
      </c>
      <c r="F10" s="34">
        <v>10</v>
      </c>
      <c r="G10" s="34">
        <v>20</v>
      </c>
      <c r="H10" s="34">
        <f t="shared" si="0"/>
        <v>80</v>
      </c>
    </row>
    <row r="11" spans="1:8" ht="15.5" x14ac:dyDescent="0.35">
      <c r="A11" s="19">
        <v>10</v>
      </c>
      <c r="B11" s="20" t="s">
        <v>70</v>
      </c>
      <c r="C11" s="34">
        <v>20</v>
      </c>
      <c r="D11" s="34">
        <v>10</v>
      </c>
      <c r="E11" s="34">
        <v>10</v>
      </c>
      <c r="F11" s="34">
        <v>20</v>
      </c>
      <c r="G11" s="34">
        <v>15</v>
      </c>
      <c r="H11" s="34">
        <f t="shared" si="0"/>
        <v>75</v>
      </c>
    </row>
    <row r="12" spans="1:8" ht="15.5" x14ac:dyDescent="0.35">
      <c r="A12" s="19">
        <v>11</v>
      </c>
      <c r="B12" s="20" t="s">
        <v>71</v>
      </c>
      <c r="C12" s="34">
        <v>20</v>
      </c>
      <c r="D12" s="34">
        <v>20</v>
      </c>
      <c r="E12" s="34">
        <v>10</v>
      </c>
      <c r="F12" s="34">
        <v>10</v>
      </c>
      <c r="G12" s="34">
        <v>15</v>
      </c>
      <c r="H12" s="34">
        <f t="shared" si="0"/>
        <v>75</v>
      </c>
    </row>
    <row r="13" spans="1:8" ht="15.5" x14ac:dyDescent="0.35">
      <c r="A13" s="19">
        <v>12</v>
      </c>
      <c r="B13" s="20" t="s">
        <v>72</v>
      </c>
      <c r="C13" s="34">
        <v>20</v>
      </c>
      <c r="D13" s="34">
        <v>20</v>
      </c>
      <c r="E13" s="34">
        <v>10</v>
      </c>
      <c r="F13" s="34">
        <v>10</v>
      </c>
      <c r="G13" s="34">
        <v>10</v>
      </c>
      <c r="H13" s="34">
        <f t="shared" si="0"/>
        <v>70</v>
      </c>
    </row>
    <row r="14" spans="1:8" ht="15.5" x14ac:dyDescent="0.35">
      <c r="A14" s="19">
        <v>13</v>
      </c>
      <c r="B14" s="20" t="s">
        <v>73</v>
      </c>
      <c r="C14" s="34">
        <v>20</v>
      </c>
      <c r="D14" s="34">
        <v>10</v>
      </c>
      <c r="E14" s="34">
        <v>20</v>
      </c>
      <c r="F14" s="34">
        <v>10</v>
      </c>
      <c r="G14" s="34">
        <v>10</v>
      </c>
      <c r="H14" s="34">
        <f t="shared" si="0"/>
        <v>70</v>
      </c>
    </row>
    <row r="15" spans="1:8" ht="15.5" x14ac:dyDescent="0.35">
      <c r="A15" s="19">
        <v>14</v>
      </c>
      <c r="B15" s="20" t="s">
        <v>74</v>
      </c>
      <c r="C15" s="34">
        <v>20</v>
      </c>
      <c r="D15" s="34">
        <v>10</v>
      </c>
      <c r="E15" s="34">
        <v>20</v>
      </c>
      <c r="F15" s="34">
        <v>10</v>
      </c>
      <c r="G15" s="34">
        <v>10</v>
      </c>
      <c r="H15" s="34">
        <f t="shared" si="0"/>
        <v>70</v>
      </c>
    </row>
    <row r="16" spans="1:8" ht="15.5" x14ac:dyDescent="0.35">
      <c r="A16" s="19">
        <v>15</v>
      </c>
      <c r="B16" s="20" t="s">
        <v>75</v>
      </c>
      <c r="C16" s="34">
        <v>20</v>
      </c>
      <c r="D16" s="34">
        <v>20</v>
      </c>
      <c r="E16" s="34">
        <v>10</v>
      </c>
      <c r="F16" s="34">
        <v>10</v>
      </c>
      <c r="G16" s="34">
        <v>10</v>
      </c>
      <c r="H16" s="34">
        <f t="shared" si="0"/>
        <v>70</v>
      </c>
    </row>
    <row r="17" spans="1:8" ht="15.5" x14ac:dyDescent="0.35">
      <c r="A17" s="19">
        <v>16</v>
      </c>
      <c r="B17" s="20" t="s">
        <v>76</v>
      </c>
      <c r="C17" s="34">
        <v>10</v>
      </c>
      <c r="D17" s="34">
        <v>20</v>
      </c>
      <c r="E17" s="34">
        <v>20</v>
      </c>
      <c r="F17" s="34">
        <v>10</v>
      </c>
      <c r="G17" s="34">
        <v>10</v>
      </c>
      <c r="H17" s="34">
        <f t="shared" si="0"/>
        <v>70</v>
      </c>
    </row>
    <row r="18" spans="1:8" ht="15.5" x14ac:dyDescent="0.35">
      <c r="A18" s="19">
        <v>17</v>
      </c>
      <c r="B18" s="20" t="s">
        <v>77</v>
      </c>
      <c r="C18" s="34">
        <v>20</v>
      </c>
      <c r="D18" s="34">
        <v>10</v>
      </c>
      <c r="E18" s="34">
        <v>20</v>
      </c>
      <c r="F18" s="34">
        <v>10</v>
      </c>
      <c r="G18" s="34">
        <v>10</v>
      </c>
      <c r="H18" s="34">
        <f t="shared" si="0"/>
        <v>70</v>
      </c>
    </row>
    <row r="19" spans="1:8" ht="15.5" x14ac:dyDescent="0.35">
      <c r="A19" s="19">
        <v>18</v>
      </c>
      <c r="B19" s="20" t="s">
        <v>78</v>
      </c>
      <c r="C19" s="34">
        <v>20</v>
      </c>
      <c r="D19" s="34">
        <v>10</v>
      </c>
      <c r="E19" s="34">
        <v>10</v>
      </c>
      <c r="F19" s="34">
        <v>20</v>
      </c>
      <c r="G19" s="34">
        <v>10</v>
      </c>
      <c r="H19" s="34">
        <f t="shared" si="0"/>
        <v>70</v>
      </c>
    </row>
    <row r="20" spans="1:8" ht="15.5" x14ac:dyDescent="0.35">
      <c r="A20" s="19">
        <v>19</v>
      </c>
      <c r="B20" s="20" t="s">
        <v>79</v>
      </c>
      <c r="C20" s="34">
        <v>10</v>
      </c>
      <c r="D20" s="34">
        <v>20</v>
      </c>
      <c r="E20" s="34">
        <v>20</v>
      </c>
      <c r="F20" s="34">
        <v>20</v>
      </c>
      <c r="G20" s="34">
        <v>10</v>
      </c>
      <c r="H20" s="34">
        <f t="shared" si="0"/>
        <v>80</v>
      </c>
    </row>
    <row r="21" spans="1:8" ht="15.5" x14ac:dyDescent="0.35">
      <c r="A21" s="19">
        <v>20</v>
      </c>
      <c r="B21" s="20" t="s">
        <v>80</v>
      </c>
      <c r="C21" s="34">
        <v>20</v>
      </c>
      <c r="D21" s="34">
        <v>10</v>
      </c>
      <c r="E21" s="34">
        <v>20</v>
      </c>
      <c r="F21" s="34">
        <v>20</v>
      </c>
      <c r="G21" s="34">
        <v>10</v>
      </c>
      <c r="H21" s="34">
        <f t="shared" si="0"/>
        <v>80</v>
      </c>
    </row>
    <row r="22" spans="1:8" ht="15.5" x14ac:dyDescent="0.35">
      <c r="A22" s="19">
        <v>21</v>
      </c>
      <c r="B22" s="20" t="s">
        <v>81</v>
      </c>
      <c r="C22" s="34">
        <v>20</v>
      </c>
      <c r="D22" s="34">
        <v>10</v>
      </c>
      <c r="E22" s="34">
        <v>20</v>
      </c>
      <c r="F22" s="34">
        <v>15</v>
      </c>
      <c r="G22" s="34">
        <v>20</v>
      </c>
      <c r="H22" s="34">
        <f t="shared" si="0"/>
        <v>85</v>
      </c>
    </row>
    <row r="23" spans="1:8" ht="15.5" x14ac:dyDescent="0.35">
      <c r="A23" s="19">
        <v>22</v>
      </c>
      <c r="B23" s="20" t="s">
        <v>82</v>
      </c>
      <c r="C23" s="34">
        <v>20</v>
      </c>
      <c r="D23" s="34">
        <v>20</v>
      </c>
      <c r="E23" s="34">
        <v>10</v>
      </c>
      <c r="F23" s="34">
        <v>10</v>
      </c>
      <c r="G23" s="34">
        <v>10</v>
      </c>
      <c r="H23" s="34">
        <f t="shared" si="0"/>
        <v>70</v>
      </c>
    </row>
    <row r="24" spans="1:8" ht="15.5" x14ac:dyDescent="0.35">
      <c r="A24" s="19">
        <v>23</v>
      </c>
      <c r="B24" s="20" t="s">
        <v>83</v>
      </c>
      <c r="C24" s="34">
        <v>20</v>
      </c>
      <c r="D24" s="34">
        <v>10</v>
      </c>
      <c r="E24" s="34">
        <v>10</v>
      </c>
      <c r="F24" s="34">
        <v>20</v>
      </c>
      <c r="G24" s="34">
        <v>10</v>
      </c>
      <c r="H24" s="34">
        <f t="shared" si="0"/>
        <v>70</v>
      </c>
    </row>
    <row r="25" spans="1:8" ht="15.5" x14ac:dyDescent="0.35">
      <c r="A25" s="19">
        <v>24</v>
      </c>
      <c r="B25" s="20" t="s">
        <v>84</v>
      </c>
      <c r="C25" s="34">
        <v>20</v>
      </c>
      <c r="D25" s="34">
        <v>20</v>
      </c>
      <c r="E25" s="34">
        <v>10</v>
      </c>
      <c r="F25" s="34">
        <v>10</v>
      </c>
      <c r="G25" s="34">
        <v>10</v>
      </c>
      <c r="H25" s="34">
        <f t="shared" si="0"/>
        <v>70</v>
      </c>
    </row>
    <row r="26" spans="1:8" ht="15.5" x14ac:dyDescent="0.35">
      <c r="A26" s="19">
        <v>25</v>
      </c>
      <c r="B26" s="20" t="s">
        <v>85</v>
      </c>
      <c r="C26" s="34">
        <v>10</v>
      </c>
      <c r="D26" s="34">
        <v>10</v>
      </c>
      <c r="E26" s="34">
        <v>20</v>
      </c>
      <c r="F26" s="34">
        <v>20</v>
      </c>
      <c r="G26" s="34">
        <v>10</v>
      </c>
      <c r="H26" s="34">
        <f t="shared" si="0"/>
        <v>70</v>
      </c>
    </row>
    <row r="27" spans="1:8" ht="15.5" x14ac:dyDescent="0.35">
      <c r="A27" s="19">
        <v>26</v>
      </c>
      <c r="B27" s="20" t="s">
        <v>86</v>
      </c>
      <c r="C27" s="34">
        <v>20</v>
      </c>
      <c r="D27" s="34">
        <v>20</v>
      </c>
      <c r="E27" s="34">
        <v>15</v>
      </c>
      <c r="F27" s="34">
        <v>10</v>
      </c>
      <c r="G27" s="34">
        <v>10</v>
      </c>
      <c r="H27" s="34">
        <f t="shared" si="0"/>
        <v>75</v>
      </c>
    </row>
    <row r="28" spans="1:8" ht="15.5" x14ac:dyDescent="0.35">
      <c r="A28" s="19">
        <v>27</v>
      </c>
      <c r="B28" s="20" t="s">
        <v>87</v>
      </c>
      <c r="C28" s="34">
        <v>10</v>
      </c>
      <c r="D28" s="34">
        <v>10</v>
      </c>
      <c r="E28" s="34">
        <v>10</v>
      </c>
      <c r="F28" s="34">
        <v>20</v>
      </c>
      <c r="G28" s="34">
        <v>20</v>
      </c>
      <c r="H28" s="34">
        <f t="shared" si="0"/>
        <v>70</v>
      </c>
    </row>
    <row r="29" spans="1:8" ht="15.5" x14ac:dyDescent="0.35">
      <c r="A29" s="19">
        <v>28</v>
      </c>
      <c r="B29" s="20" t="s">
        <v>88</v>
      </c>
      <c r="C29" s="34">
        <v>20</v>
      </c>
      <c r="D29" s="34">
        <v>20</v>
      </c>
      <c r="E29" s="34">
        <v>20</v>
      </c>
      <c r="F29" s="34">
        <v>20</v>
      </c>
      <c r="G29" s="34">
        <v>10</v>
      </c>
      <c r="H29" s="34">
        <f t="shared" si="0"/>
        <v>90</v>
      </c>
    </row>
    <row r="30" spans="1:8" ht="15.5" x14ac:dyDescent="0.35">
      <c r="A30" s="19">
        <v>29</v>
      </c>
      <c r="B30" s="20" t="s">
        <v>89</v>
      </c>
      <c r="C30" s="34">
        <v>20</v>
      </c>
      <c r="D30" s="34">
        <v>20</v>
      </c>
      <c r="E30" s="34">
        <v>20</v>
      </c>
      <c r="F30" s="34">
        <v>15</v>
      </c>
      <c r="G30" s="34">
        <v>15</v>
      </c>
      <c r="H30" s="34">
        <f t="shared" si="0"/>
        <v>90</v>
      </c>
    </row>
    <row r="31" spans="1:8" ht="15.5" x14ac:dyDescent="0.35">
      <c r="A31" s="19">
        <v>30</v>
      </c>
      <c r="B31" s="20" t="s">
        <v>90</v>
      </c>
      <c r="C31" s="34">
        <v>10</v>
      </c>
      <c r="D31" s="34">
        <v>15</v>
      </c>
      <c r="E31" s="34">
        <v>20</v>
      </c>
      <c r="F31" s="34">
        <v>20</v>
      </c>
      <c r="G31" s="34">
        <v>10</v>
      </c>
      <c r="H31" s="34">
        <f t="shared" si="0"/>
        <v>75</v>
      </c>
    </row>
    <row r="32" spans="1:8" ht="15.5" x14ac:dyDescent="0.35">
      <c r="A32" s="19">
        <v>31</v>
      </c>
      <c r="B32" s="20" t="s">
        <v>91</v>
      </c>
      <c r="C32" s="34">
        <v>10</v>
      </c>
      <c r="D32" s="34">
        <v>20</v>
      </c>
      <c r="E32" s="34">
        <v>20</v>
      </c>
      <c r="F32" s="34">
        <v>20</v>
      </c>
      <c r="G32" s="34">
        <v>20</v>
      </c>
      <c r="H32" s="34">
        <f t="shared" si="0"/>
        <v>90</v>
      </c>
    </row>
    <row r="33" spans="1:8" ht="15.5" x14ac:dyDescent="0.35">
      <c r="A33" s="19">
        <v>32</v>
      </c>
      <c r="B33" s="20" t="s">
        <v>92</v>
      </c>
      <c r="C33" s="34">
        <v>20</v>
      </c>
      <c r="D33" s="34">
        <v>20</v>
      </c>
      <c r="E33" s="34">
        <v>10</v>
      </c>
      <c r="F33" s="34">
        <v>20</v>
      </c>
      <c r="G33" s="34">
        <v>20</v>
      </c>
      <c r="H33" s="34">
        <f t="shared" si="0"/>
        <v>90</v>
      </c>
    </row>
    <row r="34" spans="1:8" ht="15.5" x14ac:dyDescent="0.35">
      <c r="A34" s="19">
        <v>33</v>
      </c>
      <c r="B34" s="20" t="s">
        <v>93</v>
      </c>
      <c r="C34" s="34">
        <v>20</v>
      </c>
      <c r="D34" s="34">
        <v>20</v>
      </c>
      <c r="E34" s="34">
        <v>20</v>
      </c>
      <c r="F34" s="34">
        <v>20</v>
      </c>
      <c r="G34" s="34">
        <v>10</v>
      </c>
      <c r="H34" s="34">
        <f t="shared" si="0"/>
        <v>90</v>
      </c>
    </row>
    <row r="35" spans="1:8" ht="15.5" x14ac:dyDescent="0.35">
      <c r="A35" s="19">
        <v>34</v>
      </c>
      <c r="B35" s="20" t="s">
        <v>94</v>
      </c>
      <c r="C35" s="34">
        <v>10</v>
      </c>
      <c r="D35" s="34">
        <v>10</v>
      </c>
      <c r="E35" s="34">
        <v>10</v>
      </c>
      <c r="F35" s="34">
        <v>20</v>
      </c>
      <c r="G35" s="34">
        <v>20</v>
      </c>
      <c r="H35" s="34">
        <f t="shared" si="0"/>
        <v>70</v>
      </c>
    </row>
    <row r="36" spans="1:8" ht="15.5" x14ac:dyDescent="0.35">
      <c r="A36" s="19">
        <v>35</v>
      </c>
      <c r="B36" s="20" t="s">
        <v>95</v>
      </c>
      <c r="C36" s="34">
        <v>20</v>
      </c>
      <c r="D36" s="34">
        <v>20</v>
      </c>
      <c r="E36" s="34">
        <v>10</v>
      </c>
      <c r="F36" s="34">
        <v>10</v>
      </c>
      <c r="G36" s="34">
        <v>10</v>
      </c>
      <c r="H36" s="34">
        <f t="shared" si="0"/>
        <v>70</v>
      </c>
    </row>
    <row r="37" spans="1:8" ht="15.5" x14ac:dyDescent="0.35">
      <c r="A37" s="19">
        <v>36</v>
      </c>
      <c r="B37" s="20" t="s">
        <v>96</v>
      </c>
      <c r="C37" s="34">
        <v>15</v>
      </c>
      <c r="D37" s="34">
        <v>10</v>
      </c>
      <c r="E37" s="34">
        <v>10</v>
      </c>
      <c r="F37" s="34">
        <v>20</v>
      </c>
      <c r="G37" s="34">
        <v>20</v>
      </c>
      <c r="H37" s="34">
        <f t="shared" si="0"/>
        <v>75</v>
      </c>
    </row>
    <row r="38" spans="1:8" ht="15.5" x14ac:dyDescent="0.35">
      <c r="A38" s="19">
        <v>37</v>
      </c>
      <c r="B38" s="20" t="s">
        <v>98</v>
      </c>
      <c r="C38" s="34">
        <v>10</v>
      </c>
      <c r="D38" s="34">
        <v>10</v>
      </c>
      <c r="E38" s="34">
        <v>15</v>
      </c>
      <c r="F38" s="34">
        <v>20</v>
      </c>
      <c r="G38" s="34">
        <v>20</v>
      </c>
      <c r="H38" s="34">
        <f t="shared" si="0"/>
        <v>75</v>
      </c>
    </row>
    <row r="39" spans="1:8" ht="15.5" x14ac:dyDescent="0.35">
      <c r="A39" s="19">
        <v>38</v>
      </c>
      <c r="B39" s="20" t="s">
        <v>97</v>
      </c>
      <c r="C39" s="34">
        <v>20</v>
      </c>
      <c r="D39" s="34">
        <v>20</v>
      </c>
      <c r="E39" s="34">
        <v>20</v>
      </c>
      <c r="F39" s="34">
        <v>20</v>
      </c>
      <c r="G39" s="34">
        <v>10</v>
      </c>
      <c r="H39" s="34">
        <f t="shared" si="0"/>
        <v>90</v>
      </c>
    </row>
    <row r="40" spans="1:8" ht="15.5" x14ac:dyDescent="0.35">
      <c r="A40" s="19">
        <v>39</v>
      </c>
      <c r="B40" s="20" t="s">
        <v>99</v>
      </c>
      <c r="C40" s="34">
        <v>10</v>
      </c>
      <c r="D40" s="34">
        <v>20</v>
      </c>
      <c r="E40" s="34">
        <v>20</v>
      </c>
      <c r="F40" s="34">
        <v>10</v>
      </c>
      <c r="G40" s="34">
        <v>10</v>
      </c>
      <c r="H40" s="34">
        <f t="shared" si="0"/>
        <v>70</v>
      </c>
    </row>
    <row r="41" spans="1:8" ht="15.5" x14ac:dyDescent="0.35">
      <c r="A41" s="19">
        <v>40</v>
      </c>
      <c r="B41" s="20" t="s">
        <v>100</v>
      </c>
      <c r="C41" s="34">
        <v>15</v>
      </c>
      <c r="D41" s="34">
        <v>15</v>
      </c>
      <c r="E41" s="34">
        <v>15</v>
      </c>
      <c r="F41" s="34">
        <v>20</v>
      </c>
      <c r="G41" s="34">
        <v>10</v>
      </c>
      <c r="H41" s="34">
        <f t="shared" si="0"/>
        <v>75</v>
      </c>
    </row>
    <row r="42" spans="1:8" ht="15.5" x14ac:dyDescent="0.35">
      <c r="A42" s="19">
        <v>41</v>
      </c>
      <c r="B42" s="20" t="s">
        <v>101</v>
      </c>
      <c r="C42" s="34">
        <v>20</v>
      </c>
      <c r="D42" s="34">
        <v>10</v>
      </c>
      <c r="E42" s="34">
        <v>10</v>
      </c>
      <c r="F42" s="34">
        <v>20</v>
      </c>
      <c r="G42" s="34">
        <v>10</v>
      </c>
      <c r="H42" s="34">
        <f t="shared" si="0"/>
        <v>70</v>
      </c>
    </row>
    <row r="43" spans="1:8" x14ac:dyDescent="0.35">
      <c r="A43" s="21"/>
      <c r="B43" s="21" t="s">
        <v>174</v>
      </c>
      <c r="C43" s="34">
        <f>SUM(C2:C42)</f>
        <v>650</v>
      </c>
      <c r="D43" s="34">
        <f t="shared" ref="D43:H43" si="1">SUM(D2:D42)</f>
        <v>615</v>
      </c>
      <c r="E43" s="34">
        <f t="shared" si="1"/>
        <v>620</v>
      </c>
      <c r="F43" s="34">
        <f t="shared" si="1"/>
        <v>665</v>
      </c>
      <c r="G43" s="34">
        <f t="shared" si="1"/>
        <v>545</v>
      </c>
      <c r="H43" s="34">
        <f t="shared" si="1"/>
        <v>3095</v>
      </c>
    </row>
    <row r="44" spans="1:8" x14ac:dyDescent="0.35">
      <c r="A44" s="21"/>
      <c r="B44" s="21" t="s">
        <v>202</v>
      </c>
      <c r="C44" s="35">
        <f>AVERAGE(C2:C42)</f>
        <v>15.853658536585366</v>
      </c>
      <c r="D44" s="35">
        <f t="shared" ref="D44:H44" si="2">AVERAGE(D2:D42)</f>
        <v>15</v>
      </c>
      <c r="E44" s="35">
        <f t="shared" si="2"/>
        <v>15.121951219512194</v>
      </c>
      <c r="F44" s="35">
        <f t="shared" si="2"/>
        <v>16.219512195121951</v>
      </c>
      <c r="G44" s="35">
        <f t="shared" si="2"/>
        <v>13.292682926829269</v>
      </c>
      <c r="H44" s="35">
        <f t="shared" si="2"/>
        <v>75.487804878048777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EEA7-C493-4B18-A800-727443DFA950}">
  <dimension ref="A1:G42"/>
  <sheetViews>
    <sheetView workbookViewId="0">
      <selection activeCell="J2" sqref="J2"/>
    </sheetView>
  </sheetViews>
  <sheetFormatPr defaultRowHeight="14.5" x14ac:dyDescent="0.35"/>
  <cols>
    <col min="2" max="2" width="31.453125" customWidth="1"/>
  </cols>
  <sheetData>
    <row r="1" spans="1:7" ht="15.5" x14ac:dyDescent="0.35">
      <c r="A1" s="1" t="s">
        <v>48</v>
      </c>
      <c r="B1" s="1" t="s">
        <v>47</v>
      </c>
      <c r="C1" s="1" t="s">
        <v>59</v>
      </c>
      <c r="D1" s="1" t="s">
        <v>42</v>
      </c>
      <c r="E1" s="1" t="s">
        <v>43</v>
      </c>
      <c r="F1" s="1" t="s">
        <v>49</v>
      </c>
      <c r="G1" s="5"/>
    </row>
    <row r="2" spans="1:7" ht="15.5" x14ac:dyDescent="0.35">
      <c r="A2" s="1">
        <v>1</v>
      </c>
      <c r="B2" s="3" t="s">
        <v>61</v>
      </c>
      <c r="C2" s="2"/>
      <c r="D2" s="2"/>
      <c r="E2" s="2"/>
      <c r="F2" s="2"/>
    </row>
    <row r="3" spans="1:7" ht="15.5" x14ac:dyDescent="0.35">
      <c r="A3" s="1">
        <v>2</v>
      </c>
      <c r="B3" s="3" t="s">
        <v>62</v>
      </c>
      <c r="C3" s="2"/>
      <c r="D3" s="2"/>
      <c r="E3" s="2"/>
      <c r="F3" s="2"/>
    </row>
    <row r="4" spans="1:7" ht="15.5" x14ac:dyDescent="0.35">
      <c r="A4" s="1">
        <v>3</v>
      </c>
      <c r="B4" s="3" t="s">
        <v>63</v>
      </c>
      <c r="C4" s="2"/>
      <c r="D4" s="2"/>
      <c r="E4" s="2"/>
      <c r="F4" s="2"/>
    </row>
    <row r="5" spans="1:7" ht="15.5" x14ac:dyDescent="0.35">
      <c r="A5" s="1">
        <v>4</v>
      </c>
      <c r="B5" s="3" t="s">
        <v>64</v>
      </c>
      <c r="C5" s="2"/>
      <c r="D5" s="2"/>
      <c r="E5" s="2"/>
      <c r="F5" s="2"/>
    </row>
    <row r="6" spans="1:7" ht="15.5" x14ac:dyDescent="0.35">
      <c r="A6" s="1">
        <v>5</v>
      </c>
      <c r="B6" s="3" t="s">
        <v>65</v>
      </c>
      <c r="C6" s="2"/>
      <c r="D6" s="2"/>
      <c r="E6" s="2"/>
      <c r="F6" s="2"/>
    </row>
    <row r="7" spans="1:7" ht="15.5" x14ac:dyDescent="0.35">
      <c r="A7" s="1">
        <v>6</v>
      </c>
      <c r="B7" s="3" t="s">
        <v>66</v>
      </c>
      <c r="C7" s="2"/>
      <c r="D7" s="2"/>
      <c r="E7" s="2"/>
      <c r="F7" s="2"/>
    </row>
    <row r="8" spans="1:7" ht="15.5" x14ac:dyDescent="0.35">
      <c r="A8" s="1">
        <v>7</v>
      </c>
      <c r="B8" s="3" t="s">
        <v>67</v>
      </c>
      <c r="C8" s="2"/>
      <c r="D8" s="2"/>
      <c r="E8" s="2"/>
      <c r="F8" s="2"/>
    </row>
    <row r="9" spans="1:7" ht="15.5" x14ac:dyDescent="0.35">
      <c r="A9" s="1">
        <v>8</v>
      </c>
      <c r="B9" s="3" t="s">
        <v>68</v>
      </c>
      <c r="C9" s="2"/>
      <c r="D9" s="2"/>
      <c r="E9" s="2"/>
      <c r="F9" s="2"/>
    </row>
    <row r="10" spans="1:7" ht="15.5" x14ac:dyDescent="0.35">
      <c r="A10" s="1">
        <v>9</v>
      </c>
      <c r="B10" s="3" t="s">
        <v>69</v>
      </c>
      <c r="C10" s="2"/>
      <c r="D10" s="2"/>
      <c r="E10" s="2"/>
      <c r="F10" s="2"/>
    </row>
    <row r="11" spans="1:7" ht="15.5" x14ac:dyDescent="0.35">
      <c r="A11" s="1">
        <v>10</v>
      </c>
      <c r="B11" s="3" t="s">
        <v>70</v>
      </c>
      <c r="C11" s="2"/>
      <c r="D11" s="2"/>
      <c r="E11" s="2"/>
      <c r="F11" s="2"/>
    </row>
    <row r="12" spans="1:7" ht="15.5" x14ac:dyDescent="0.35">
      <c r="A12" s="1">
        <v>11</v>
      </c>
      <c r="B12" s="3" t="s">
        <v>71</v>
      </c>
      <c r="C12" s="2"/>
      <c r="D12" s="2"/>
      <c r="E12" s="2"/>
      <c r="F12" s="2"/>
    </row>
    <row r="13" spans="1:7" ht="15.5" x14ac:dyDescent="0.35">
      <c r="A13" s="1">
        <v>12</v>
      </c>
      <c r="B13" s="3" t="s">
        <v>72</v>
      </c>
      <c r="C13" s="2"/>
      <c r="D13" s="2"/>
      <c r="E13" s="2"/>
      <c r="F13" s="2"/>
    </row>
    <row r="14" spans="1:7" ht="15.5" x14ac:dyDescent="0.35">
      <c r="A14" s="1">
        <v>13</v>
      </c>
      <c r="B14" s="3" t="s">
        <v>73</v>
      </c>
      <c r="C14" s="2"/>
      <c r="D14" s="2"/>
      <c r="E14" s="2"/>
      <c r="F14" s="2"/>
    </row>
    <row r="15" spans="1:7" ht="15.5" x14ac:dyDescent="0.35">
      <c r="A15" s="1">
        <v>14</v>
      </c>
      <c r="B15" s="3" t="s">
        <v>74</v>
      </c>
      <c r="C15" s="2"/>
      <c r="D15" s="2"/>
      <c r="E15" s="2"/>
      <c r="F15" s="2"/>
    </row>
    <row r="16" spans="1:7" ht="15.5" x14ac:dyDescent="0.35">
      <c r="A16" s="1">
        <v>15</v>
      </c>
      <c r="B16" s="3" t="s">
        <v>75</v>
      </c>
      <c r="C16" s="2"/>
      <c r="D16" s="2"/>
      <c r="E16" s="2"/>
      <c r="F16" s="2"/>
    </row>
    <row r="17" spans="1:6" ht="15.5" x14ac:dyDescent="0.35">
      <c r="A17" s="1">
        <v>16</v>
      </c>
      <c r="B17" s="3" t="s">
        <v>76</v>
      </c>
      <c r="C17" s="2"/>
      <c r="D17" s="2"/>
      <c r="E17" s="2"/>
      <c r="F17" s="2"/>
    </row>
    <row r="18" spans="1:6" ht="15.5" x14ac:dyDescent="0.35">
      <c r="A18" s="1">
        <v>17</v>
      </c>
      <c r="B18" s="3" t="s">
        <v>77</v>
      </c>
      <c r="C18" s="2"/>
      <c r="D18" s="2"/>
      <c r="E18" s="2"/>
      <c r="F18" s="2"/>
    </row>
    <row r="19" spans="1:6" ht="15.5" x14ac:dyDescent="0.35">
      <c r="A19" s="1">
        <v>18</v>
      </c>
      <c r="B19" s="3" t="s">
        <v>78</v>
      </c>
      <c r="C19" s="2"/>
      <c r="D19" s="2"/>
      <c r="E19" s="2"/>
      <c r="F19" s="2"/>
    </row>
    <row r="20" spans="1:6" ht="15.5" x14ac:dyDescent="0.35">
      <c r="A20" s="1">
        <v>19</v>
      </c>
      <c r="B20" s="3" t="s">
        <v>79</v>
      </c>
      <c r="C20" s="2"/>
      <c r="D20" s="2"/>
      <c r="E20" s="2"/>
      <c r="F20" s="2"/>
    </row>
    <row r="21" spans="1:6" ht="15.5" x14ac:dyDescent="0.35">
      <c r="A21" s="1">
        <v>20</v>
      </c>
      <c r="B21" s="3" t="s">
        <v>80</v>
      </c>
      <c r="C21" s="2"/>
      <c r="D21" s="2"/>
      <c r="E21" s="2"/>
      <c r="F21" s="2"/>
    </row>
    <row r="22" spans="1:6" ht="15.5" x14ac:dyDescent="0.35">
      <c r="A22" s="1">
        <v>21</v>
      </c>
      <c r="B22" s="3" t="s">
        <v>81</v>
      </c>
      <c r="C22" s="2"/>
      <c r="D22" s="2"/>
      <c r="E22" s="2"/>
      <c r="F22" s="2"/>
    </row>
    <row r="23" spans="1:6" ht="15.5" x14ac:dyDescent="0.35">
      <c r="A23" s="1">
        <v>22</v>
      </c>
      <c r="B23" s="3" t="s">
        <v>82</v>
      </c>
      <c r="C23" s="2"/>
      <c r="D23" s="2"/>
      <c r="E23" s="2"/>
      <c r="F23" s="2"/>
    </row>
    <row r="24" spans="1:6" ht="15.5" x14ac:dyDescent="0.35">
      <c r="A24" s="1">
        <v>23</v>
      </c>
      <c r="B24" s="3" t="s">
        <v>83</v>
      </c>
      <c r="C24" s="2"/>
      <c r="D24" s="2"/>
      <c r="E24" s="2"/>
      <c r="F24" s="2"/>
    </row>
    <row r="25" spans="1:6" ht="15.5" x14ac:dyDescent="0.35">
      <c r="A25" s="1">
        <v>24</v>
      </c>
      <c r="B25" s="3" t="s">
        <v>84</v>
      </c>
      <c r="C25" s="2"/>
      <c r="D25" s="2"/>
      <c r="E25" s="2"/>
      <c r="F25" s="2"/>
    </row>
    <row r="26" spans="1:6" ht="15.5" x14ac:dyDescent="0.35">
      <c r="A26" s="1">
        <v>25</v>
      </c>
      <c r="B26" s="3" t="s">
        <v>85</v>
      </c>
      <c r="C26" s="2"/>
      <c r="D26" s="2"/>
      <c r="E26" s="2"/>
      <c r="F26" s="2"/>
    </row>
    <row r="27" spans="1:6" ht="15.5" x14ac:dyDescent="0.35">
      <c r="A27" s="1">
        <v>26</v>
      </c>
      <c r="B27" s="3" t="s">
        <v>86</v>
      </c>
      <c r="C27" s="2"/>
      <c r="D27" s="2"/>
      <c r="E27" s="2"/>
      <c r="F27" s="2"/>
    </row>
    <row r="28" spans="1:6" ht="15.5" x14ac:dyDescent="0.35">
      <c r="A28" s="1">
        <v>27</v>
      </c>
      <c r="B28" s="3" t="s">
        <v>87</v>
      </c>
      <c r="C28" s="2"/>
      <c r="D28" s="2"/>
      <c r="E28" s="2"/>
      <c r="F28" s="2"/>
    </row>
    <row r="29" spans="1:6" ht="15.5" x14ac:dyDescent="0.35">
      <c r="A29" s="1">
        <v>28</v>
      </c>
      <c r="B29" s="3" t="s">
        <v>88</v>
      </c>
      <c r="C29" s="2"/>
      <c r="D29" s="2"/>
      <c r="E29" s="2"/>
      <c r="F29" s="2"/>
    </row>
    <row r="30" spans="1:6" ht="15.5" x14ac:dyDescent="0.35">
      <c r="A30" s="1">
        <v>29</v>
      </c>
      <c r="B30" s="3" t="s">
        <v>89</v>
      </c>
      <c r="C30" s="2"/>
      <c r="D30" s="2"/>
      <c r="E30" s="2"/>
      <c r="F30" s="2"/>
    </row>
    <row r="31" spans="1:6" ht="15.5" x14ac:dyDescent="0.35">
      <c r="A31" s="1">
        <v>30</v>
      </c>
      <c r="B31" s="3" t="s">
        <v>90</v>
      </c>
      <c r="C31" s="2"/>
      <c r="D31" s="2"/>
      <c r="E31" s="2"/>
      <c r="F31" s="2"/>
    </row>
    <row r="32" spans="1:6" ht="15.5" x14ac:dyDescent="0.35">
      <c r="A32" s="1">
        <v>31</v>
      </c>
      <c r="B32" s="3" t="s">
        <v>91</v>
      </c>
      <c r="C32" s="2"/>
      <c r="D32" s="2"/>
      <c r="E32" s="2"/>
      <c r="F32" s="2"/>
    </row>
    <row r="33" spans="1:6" ht="15.5" x14ac:dyDescent="0.35">
      <c r="A33" s="1">
        <v>32</v>
      </c>
      <c r="B33" s="3" t="s">
        <v>92</v>
      </c>
      <c r="C33" s="2"/>
      <c r="D33" s="2"/>
      <c r="E33" s="2"/>
      <c r="F33" s="2"/>
    </row>
    <row r="34" spans="1:6" ht="15.5" x14ac:dyDescent="0.35">
      <c r="A34" s="1">
        <v>33</v>
      </c>
      <c r="B34" s="3" t="s">
        <v>93</v>
      </c>
      <c r="C34" s="2"/>
      <c r="D34" s="2"/>
      <c r="E34" s="2"/>
      <c r="F34" s="2"/>
    </row>
    <row r="35" spans="1:6" ht="15.5" x14ac:dyDescent="0.35">
      <c r="A35" s="1">
        <v>34</v>
      </c>
      <c r="B35" s="3" t="s">
        <v>94</v>
      </c>
      <c r="C35" s="2"/>
      <c r="D35" s="2"/>
      <c r="E35" s="2"/>
      <c r="F35" s="2"/>
    </row>
    <row r="36" spans="1:6" ht="15.5" x14ac:dyDescent="0.35">
      <c r="A36" s="1">
        <v>35</v>
      </c>
      <c r="B36" s="3" t="s">
        <v>95</v>
      </c>
      <c r="C36" s="2"/>
      <c r="D36" s="2"/>
      <c r="E36" s="2"/>
      <c r="F36" s="2"/>
    </row>
    <row r="37" spans="1:6" ht="15.5" x14ac:dyDescent="0.35">
      <c r="A37" s="1">
        <v>36</v>
      </c>
      <c r="B37" s="3" t="s">
        <v>96</v>
      </c>
      <c r="C37" s="2"/>
      <c r="D37" s="2"/>
      <c r="E37" s="2"/>
      <c r="F37" s="2"/>
    </row>
    <row r="38" spans="1:6" ht="15.5" x14ac:dyDescent="0.35">
      <c r="A38" s="1">
        <v>37</v>
      </c>
      <c r="B38" s="3" t="s">
        <v>98</v>
      </c>
      <c r="C38" s="2"/>
      <c r="D38" s="2"/>
      <c r="E38" s="2"/>
      <c r="F38" s="2"/>
    </row>
    <row r="39" spans="1:6" ht="15.5" x14ac:dyDescent="0.35">
      <c r="A39" s="1">
        <v>38</v>
      </c>
      <c r="B39" s="3" t="s">
        <v>97</v>
      </c>
      <c r="C39" s="2"/>
      <c r="D39" s="2"/>
      <c r="E39" s="2"/>
      <c r="F39" s="2"/>
    </row>
    <row r="40" spans="1:6" ht="15.5" x14ac:dyDescent="0.35">
      <c r="A40" s="1">
        <v>39</v>
      </c>
      <c r="B40" s="3" t="s">
        <v>99</v>
      </c>
      <c r="C40" s="2"/>
      <c r="D40" s="2"/>
      <c r="E40" s="2"/>
      <c r="F40" s="2"/>
    </row>
    <row r="41" spans="1:6" ht="15.5" x14ac:dyDescent="0.35">
      <c r="A41" s="1">
        <v>40</v>
      </c>
      <c r="B41" s="3" t="s">
        <v>100</v>
      </c>
      <c r="C41" s="2"/>
      <c r="D41" s="2"/>
      <c r="E41" s="2"/>
      <c r="F41" s="2"/>
    </row>
    <row r="42" spans="1:6" ht="15.5" x14ac:dyDescent="0.35">
      <c r="A42" s="1">
        <v>41</v>
      </c>
      <c r="B42" s="3" t="s">
        <v>101</v>
      </c>
      <c r="C42" s="2"/>
      <c r="D42" s="2"/>
      <c r="E42" s="2"/>
      <c r="F42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2BF12-65A2-44A5-94DB-2C83C3A91A42}">
  <dimension ref="A1:F42"/>
  <sheetViews>
    <sheetView topLeftCell="A23" workbookViewId="0">
      <selection activeCell="A2" sqref="A2:B42"/>
    </sheetView>
  </sheetViews>
  <sheetFormatPr defaultRowHeight="14.5" x14ac:dyDescent="0.35"/>
  <cols>
    <col min="2" max="2" width="30.26953125" customWidth="1"/>
  </cols>
  <sheetData>
    <row r="1" spans="1:6" ht="15.5" x14ac:dyDescent="0.35">
      <c r="A1" s="1" t="s">
        <v>48</v>
      </c>
      <c r="B1" s="1" t="s">
        <v>47</v>
      </c>
      <c r="C1" s="1" t="s">
        <v>59</v>
      </c>
      <c r="D1" s="1" t="s">
        <v>42</v>
      </c>
      <c r="E1" s="1" t="s">
        <v>43</v>
      </c>
      <c r="F1" s="1" t="s">
        <v>49</v>
      </c>
    </row>
    <row r="2" spans="1:6" ht="15.5" x14ac:dyDescent="0.35">
      <c r="A2" s="1">
        <v>1</v>
      </c>
      <c r="B2" s="3" t="s">
        <v>61</v>
      </c>
      <c r="C2" s="2"/>
      <c r="D2" s="2"/>
      <c r="E2" s="2"/>
      <c r="F2" s="2"/>
    </row>
    <row r="3" spans="1:6" ht="15.5" x14ac:dyDescent="0.35">
      <c r="A3" s="1">
        <v>2</v>
      </c>
      <c r="B3" s="3" t="s">
        <v>62</v>
      </c>
      <c r="C3" s="2"/>
      <c r="D3" s="2"/>
      <c r="E3" s="2"/>
      <c r="F3" s="2"/>
    </row>
    <row r="4" spans="1:6" ht="15.5" x14ac:dyDescent="0.35">
      <c r="A4" s="1">
        <v>3</v>
      </c>
      <c r="B4" s="3" t="s">
        <v>63</v>
      </c>
      <c r="C4" s="2"/>
      <c r="D4" s="2"/>
      <c r="E4" s="2"/>
      <c r="F4" s="2"/>
    </row>
    <row r="5" spans="1:6" ht="15.5" x14ac:dyDescent="0.35">
      <c r="A5" s="1">
        <v>4</v>
      </c>
      <c r="B5" s="3" t="s">
        <v>64</v>
      </c>
      <c r="C5" s="2"/>
      <c r="D5" s="2"/>
      <c r="E5" s="2"/>
      <c r="F5" s="2"/>
    </row>
    <row r="6" spans="1:6" ht="15.5" x14ac:dyDescent="0.35">
      <c r="A6" s="1">
        <v>5</v>
      </c>
      <c r="B6" s="3" t="s">
        <v>65</v>
      </c>
      <c r="C6" s="2"/>
      <c r="D6" s="2"/>
      <c r="E6" s="2"/>
      <c r="F6" s="2"/>
    </row>
    <row r="7" spans="1:6" ht="15.5" x14ac:dyDescent="0.35">
      <c r="A7" s="1">
        <v>6</v>
      </c>
      <c r="B7" s="3" t="s">
        <v>66</v>
      </c>
      <c r="C7" s="2"/>
      <c r="D7" s="2"/>
      <c r="E7" s="2"/>
      <c r="F7" s="2"/>
    </row>
    <row r="8" spans="1:6" ht="15.5" x14ac:dyDescent="0.35">
      <c r="A8" s="1">
        <v>7</v>
      </c>
      <c r="B8" s="3" t="s">
        <v>67</v>
      </c>
      <c r="C8" s="2"/>
      <c r="D8" s="2"/>
      <c r="E8" s="2"/>
      <c r="F8" s="2"/>
    </row>
    <row r="9" spans="1:6" ht="15.5" x14ac:dyDescent="0.35">
      <c r="A9" s="1">
        <v>8</v>
      </c>
      <c r="B9" s="3" t="s">
        <v>68</v>
      </c>
      <c r="C9" s="2"/>
      <c r="D9" s="2"/>
      <c r="E9" s="2"/>
      <c r="F9" s="2"/>
    </row>
    <row r="10" spans="1:6" ht="15.5" x14ac:dyDescent="0.35">
      <c r="A10" s="1">
        <v>9</v>
      </c>
      <c r="B10" s="3" t="s">
        <v>69</v>
      </c>
      <c r="C10" s="2"/>
      <c r="D10" s="2"/>
      <c r="E10" s="2"/>
      <c r="F10" s="2"/>
    </row>
    <row r="11" spans="1:6" ht="15.5" x14ac:dyDescent="0.35">
      <c r="A11" s="1">
        <v>10</v>
      </c>
      <c r="B11" s="3" t="s">
        <v>70</v>
      </c>
      <c r="C11" s="2"/>
      <c r="D11" s="2"/>
      <c r="E11" s="2"/>
      <c r="F11" s="2"/>
    </row>
    <row r="12" spans="1:6" ht="15.5" x14ac:dyDescent="0.35">
      <c r="A12" s="1">
        <v>11</v>
      </c>
      <c r="B12" s="3" t="s">
        <v>71</v>
      </c>
      <c r="C12" s="2"/>
      <c r="D12" s="2"/>
      <c r="E12" s="2"/>
      <c r="F12" s="2"/>
    </row>
    <row r="13" spans="1:6" ht="15.5" x14ac:dyDescent="0.35">
      <c r="A13" s="1">
        <v>12</v>
      </c>
      <c r="B13" s="3" t="s">
        <v>72</v>
      </c>
      <c r="C13" s="2"/>
      <c r="D13" s="2"/>
      <c r="E13" s="2"/>
      <c r="F13" s="2"/>
    </row>
    <row r="14" spans="1:6" ht="15.5" x14ac:dyDescent="0.35">
      <c r="A14" s="1">
        <v>13</v>
      </c>
      <c r="B14" s="3" t="s">
        <v>73</v>
      </c>
      <c r="C14" s="2"/>
      <c r="D14" s="2"/>
      <c r="E14" s="2"/>
      <c r="F14" s="2"/>
    </row>
    <row r="15" spans="1:6" ht="15.5" x14ac:dyDescent="0.35">
      <c r="A15" s="1">
        <v>14</v>
      </c>
      <c r="B15" s="3" t="s">
        <v>74</v>
      </c>
      <c r="C15" s="2"/>
      <c r="D15" s="2"/>
      <c r="E15" s="2"/>
      <c r="F15" s="2"/>
    </row>
    <row r="16" spans="1:6" ht="15.5" x14ac:dyDescent="0.35">
      <c r="A16" s="1">
        <v>15</v>
      </c>
      <c r="B16" s="3" t="s">
        <v>75</v>
      </c>
      <c r="C16" s="2"/>
      <c r="D16" s="2"/>
      <c r="E16" s="2"/>
      <c r="F16" s="2"/>
    </row>
    <row r="17" spans="1:6" ht="15.5" x14ac:dyDescent="0.35">
      <c r="A17" s="1">
        <v>16</v>
      </c>
      <c r="B17" s="3" t="s">
        <v>76</v>
      </c>
      <c r="C17" s="2"/>
      <c r="D17" s="2"/>
      <c r="E17" s="2"/>
      <c r="F17" s="2"/>
    </row>
    <row r="18" spans="1:6" ht="15.5" x14ac:dyDescent="0.35">
      <c r="A18" s="1">
        <v>17</v>
      </c>
      <c r="B18" s="3" t="s">
        <v>77</v>
      </c>
      <c r="C18" s="2"/>
      <c r="D18" s="2"/>
      <c r="E18" s="2"/>
      <c r="F18" s="2"/>
    </row>
    <row r="19" spans="1:6" ht="15.5" x14ac:dyDescent="0.35">
      <c r="A19" s="1">
        <v>18</v>
      </c>
      <c r="B19" s="3" t="s">
        <v>78</v>
      </c>
      <c r="C19" s="2"/>
      <c r="D19" s="2"/>
      <c r="E19" s="2"/>
      <c r="F19" s="2"/>
    </row>
    <row r="20" spans="1:6" ht="15.5" x14ac:dyDescent="0.35">
      <c r="A20" s="1">
        <v>19</v>
      </c>
      <c r="B20" s="3" t="s">
        <v>79</v>
      </c>
      <c r="C20" s="2"/>
      <c r="D20" s="2"/>
      <c r="E20" s="2"/>
      <c r="F20" s="2"/>
    </row>
    <row r="21" spans="1:6" ht="15.5" x14ac:dyDescent="0.35">
      <c r="A21" s="1">
        <v>20</v>
      </c>
      <c r="B21" s="3" t="s">
        <v>80</v>
      </c>
      <c r="C21" s="2"/>
      <c r="D21" s="2"/>
      <c r="E21" s="2"/>
      <c r="F21" s="2"/>
    </row>
    <row r="22" spans="1:6" ht="15.5" x14ac:dyDescent="0.35">
      <c r="A22" s="1">
        <v>21</v>
      </c>
      <c r="B22" s="3" t="s">
        <v>81</v>
      </c>
      <c r="C22" s="2"/>
      <c r="D22" s="2"/>
      <c r="E22" s="2"/>
      <c r="F22" s="2"/>
    </row>
    <row r="23" spans="1:6" ht="15.5" x14ac:dyDescent="0.35">
      <c r="A23" s="1">
        <v>22</v>
      </c>
      <c r="B23" s="3" t="s">
        <v>82</v>
      </c>
      <c r="C23" s="2"/>
      <c r="D23" s="2"/>
      <c r="E23" s="2"/>
      <c r="F23" s="2"/>
    </row>
    <row r="24" spans="1:6" ht="15.5" x14ac:dyDescent="0.35">
      <c r="A24" s="1">
        <v>23</v>
      </c>
      <c r="B24" s="3" t="s">
        <v>83</v>
      </c>
      <c r="C24" s="2"/>
      <c r="D24" s="2"/>
      <c r="E24" s="2"/>
      <c r="F24" s="2"/>
    </row>
    <row r="25" spans="1:6" ht="15.5" x14ac:dyDescent="0.35">
      <c r="A25" s="1">
        <v>24</v>
      </c>
      <c r="B25" s="3" t="s">
        <v>84</v>
      </c>
      <c r="C25" s="2"/>
      <c r="D25" s="2"/>
      <c r="E25" s="2"/>
      <c r="F25" s="2"/>
    </row>
    <row r="26" spans="1:6" ht="15.5" x14ac:dyDescent="0.35">
      <c r="A26" s="1">
        <v>25</v>
      </c>
      <c r="B26" s="3" t="s">
        <v>85</v>
      </c>
      <c r="C26" s="2"/>
      <c r="D26" s="2"/>
      <c r="E26" s="2"/>
      <c r="F26" s="2"/>
    </row>
    <row r="27" spans="1:6" ht="15.5" x14ac:dyDescent="0.35">
      <c r="A27" s="1">
        <v>26</v>
      </c>
      <c r="B27" s="3" t="s">
        <v>86</v>
      </c>
      <c r="C27" s="2"/>
      <c r="D27" s="2"/>
      <c r="E27" s="2"/>
      <c r="F27" s="2"/>
    </row>
    <row r="28" spans="1:6" ht="15.5" x14ac:dyDescent="0.35">
      <c r="A28" s="1">
        <v>27</v>
      </c>
      <c r="B28" s="3" t="s">
        <v>87</v>
      </c>
      <c r="C28" s="2"/>
      <c r="D28" s="2"/>
      <c r="E28" s="2"/>
      <c r="F28" s="2"/>
    </row>
    <row r="29" spans="1:6" ht="15.5" x14ac:dyDescent="0.35">
      <c r="A29" s="1">
        <v>28</v>
      </c>
      <c r="B29" s="3" t="s">
        <v>88</v>
      </c>
      <c r="C29" s="2"/>
      <c r="D29" s="2"/>
      <c r="E29" s="2"/>
      <c r="F29" s="2"/>
    </row>
    <row r="30" spans="1:6" ht="15.5" x14ac:dyDescent="0.35">
      <c r="A30" s="1">
        <v>29</v>
      </c>
      <c r="B30" s="3" t="s">
        <v>89</v>
      </c>
      <c r="C30" s="2"/>
      <c r="D30" s="2"/>
      <c r="E30" s="2"/>
      <c r="F30" s="2"/>
    </row>
    <row r="31" spans="1:6" ht="15.5" x14ac:dyDescent="0.35">
      <c r="A31" s="1">
        <v>30</v>
      </c>
      <c r="B31" s="3" t="s">
        <v>90</v>
      </c>
      <c r="C31" s="2"/>
      <c r="D31" s="2"/>
      <c r="E31" s="2"/>
      <c r="F31" s="2"/>
    </row>
    <row r="32" spans="1:6" ht="15.5" x14ac:dyDescent="0.35">
      <c r="A32" s="1">
        <v>31</v>
      </c>
      <c r="B32" s="3" t="s">
        <v>91</v>
      </c>
      <c r="C32" s="2"/>
      <c r="D32" s="2"/>
      <c r="E32" s="2"/>
      <c r="F32" s="2"/>
    </row>
    <row r="33" spans="1:6" ht="15.5" x14ac:dyDescent="0.35">
      <c r="A33" s="1">
        <v>32</v>
      </c>
      <c r="B33" s="3" t="s">
        <v>92</v>
      </c>
      <c r="C33" s="2"/>
      <c r="D33" s="2"/>
      <c r="E33" s="2"/>
      <c r="F33" s="2"/>
    </row>
    <row r="34" spans="1:6" ht="15.5" x14ac:dyDescent="0.35">
      <c r="A34" s="1">
        <v>33</v>
      </c>
      <c r="B34" s="3" t="s">
        <v>93</v>
      </c>
      <c r="C34" s="2"/>
      <c r="D34" s="2"/>
      <c r="E34" s="2"/>
      <c r="F34" s="2"/>
    </row>
    <row r="35" spans="1:6" ht="15.5" x14ac:dyDescent="0.35">
      <c r="A35" s="1">
        <v>34</v>
      </c>
      <c r="B35" s="3" t="s">
        <v>94</v>
      </c>
      <c r="C35" s="2"/>
      <c r="D35" s="2"/>
      <c r="E35" s="2"/>
      <c r="F35" s="2"/>
    </row>
    <row r="36" spans="1:6" ht="15.5" x14ac:dyDescent="0.35">
      <c r="A36" s="1">
        <v>35</v>
      </c>
      <c r="B36" s="3" t="s">
        <v>95</v>
      </c>
      <c r="C36" s="2"/>
      <c r="D36" s="2"/>
      <c r="E36" s="2"/>
      <c r="F36" s="2"/>
    </row>
    <row r="37" spans="1:6" ht="15.5" x14ac:dyDescent="0.35">
      <c r="A37" s="1">
        <v>36</v>
      </c>
      <c r="B37" s="3" t="s">
        <v>96</v>
      </c>
      <c r="C37" s="2"/>
      <c r="D37" s="2"/>
      <c r="E37" s="2"/>
      <c r="F37" s="2"/>
    </row>
    <row r="38" spans="1:6" ht="15.5" x14ac:dyDescent="0.35">
      <c r="A38" s="1">
        <v>37</v>
      </c>
      <c r="B38" s="3" t="s">
        <v>98</v>
      </c>
      <c r="C38" s="2"/>
      <c r="D38" s="2"/>
      <c r="E38" s="2"/>
      <c r="F38" s="2"/>
    </row>
    <row r="39" spans="1:6" ht="15.5" x14ac:dyDescent="0.35">
      <c r="A39" s="1">
        <v>38</v>
      </c>
      <c r="B39" s="3" t="s">
        <v>97</v>
      </c>
      <c r="C39" s="2"/>
      <c r="D39" s="2"/>
      <c r="E39" s="2"/>
      <c r="F39" s="2"/>
    </row>
    <row r="40" spans="1:6" ht="15.5" x14ac:dyDescent="0.35">
      <c r="A40" s="1">
        <v>39</v>
      </c>
      <c r="B40" s="3" t="s">
        <v>99</v>
      </c>
      <c r="C40" s="2"/>
      <c r="D40" s="2"/>
      <c r="E40" s="2"/>
      <c r="F40" s="2"/>
    </row>
    <row r="41" spans="1:6" ht="15.5" x14ac:dyDescent="0.35">
      <c r="A41" s="1">
        <v>40</v>
      </c>
      <c r="B41" s="3" t="s">
        <v>100</v>
      </c>
      <c r="C41" s="2"/>
      <c r="D41" s="2"/>
      <c r="E41" s="2"/>
      <c r="F41" s="2"/>
    </row>
    <row r="42" spans="1:6" ht="15.5" x14ac:dyDescent="0.35">
      <c r="A42" s="1">
        <v>41</v>
      </c>
      <c r="B42" s="3" t="s">
        <v>101</v>
      </c>
      <c r="C42" s="2"/>
      <c r="D42" s="2"/>
      <c r="E42" s="2"/>
      <c r="F42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3A211-CA85-49A1-B3F7-46C6F3F0E9B4}">
  <dimension ref="A1:G42"/>
  <sheetViews>
    <sheetView zoomScale="85" zoomScaleNormal="85" workbookViewId="0">
      <selection activeCell="B42" sqref="B42"/>
    </sheetView>
  </sheetViews>
  <sheetFormatPr defaultRowHeight="14.5" x14ac:dyDescent="0.35"/>
  <cols>
    <col min="2" max="2" width="34.1796875" customWidth="1"/>
  </cols>
  <sheetData>
    <row r="1" spans="1:7" x14ac:dyDescent="0.35">
      <c r="A1" s="4" t="s">
        <v>102</v>
      </c>
      <c r="B1" s="6" t="s">
        <v>103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104</v>
      </c>
    </row>
    <row r="2" spans="1:7" ht="15.5" x14ac:dyDescent="0.35">
      <c r="A2" s="1">
        <v>1</v>
      </c>
      <c r="B2" s="7" t="s">
        <v>61</v>
      </c>
      <c r="C2" s="2"/>
      <c r="D2" s="2"/>
      <c r="E2" s="2"/>
      <c r="F2" s="2"/>
      <c r="G2" s="2"/>
    </row>
    <row r="3" spans="1:7" ht="15.5" x14ac:dyDescent="0.35">
      <c r="A3" s="1">
        <v>2</v>
      </c>
      <c r="B3" s="7" t="s">
        <v>62</v>
      </c>
      <c r="C3" s="2"/>
      <c r="D3" s="2"/>
      <c r="E3" s="2"/>
      <c r="F3" s="2"/>
      <c r="G3" s="2"/>
    </row>
    <row r="4" spans="1:7" ht="15.5" x14ac:dyDescent="0.35">
      <c r="A4" s="1">
        <v>3</v>
      </c>
      <c r="B4" s="7" t="s">
        <v>63</v>
      </c>
      <c r="C4" s="2"/>
      <c r="D4" s="2"/>
      <c r="E4" s="2"/>
      <c r="F4" s="2"/>
      <c r="G4" s="2"/>
    </row>
    <row r="5" spans="1:7" ht="15.5" x14ac:dyDescent="0.35">
      <c r="A5" s="1">
        <v>4</v>
      </c>
      <c r="B5" s="7" t="s">
        <v>64</v>
      </c>
      <c r="C5" s="2"/>
      <c r="D5" s="2"/>
      <c r="E5" s="2"/>
      <c r="F5" s="2"/>
      <c r="G5" s="2"/>
    </row>
    <row r="6" spans="1:7" ht="15.5" x14ac:dyDescent="0.35">
      <c r="A6" s="1">
        <v>5</v>
      </c>
      <c r="B6" s="7" t="s">
        <v>65</v>
      </c>
      <c r="C6" s="2"/>
      <c r="D6" s="2"/>
      <c r="E6" s="2"/>
      <c r="F6" s="2"/>
      <c r="G6" s="2"/>
    </row>
    <row r="7" spans="1:7" ht="15.5" x14ac:dyDescent="0.35">
      <c r="A7" s="1">
        <v>6</v>
      </c>
      <c r="B7" s="7" t="s">
        <v>66</v>
      </c>
      <c r="C7" s="2"/>
      <c r="D7" s="2"/>
      <c r="E7" s="2"/>
      <c r="F7" s="2"/>
      <c r="G7" s="2"/>
    </row>
    <row r="8" spans="1:7" ht="15.5" x14ac:dyDescent="0.35">
      <c r="A8" s="1">
        <v>7</v>
      </c>
      <c r="B8" s="7" t="s">
        <v>67</v>
      </c>
      <c r="C8" s="2"/>
      <c r="D8" s="2"/>
      <c r="E8" s="2"/>
      <c r="F8" s="2"/>
      <c r="G8" s="2"/>
    </row>
    <row r="9" spans="1:7" ht="15.5" x14ac:dyDescent="0.35">
      <c r="A9" s="1">
        <v>8</v>
      </c>
      <c r="B9" s="7" t="s">
        <v>68</v>
      </c>
      <c r="C9" s="2"/>
      <c r="D9" s="2"/>
      <c r="E9" s="2"/>
      <c r="F9" s="2"/>
      <c r="G9" s="2"/>
    </row>
    <row r="10" spans="1:7" ht="15.5" x14ac:dyDescent="0.35">
      <c r="A10" s="1">
        <v>9</v>
      </c>
      <c r="B10" s="7" t="s">
        <v>69</v>
      </c>
      <c r="C10" s="2"/>
      <c r="D10" s="2"/>
      <c r="E10" s="2"/>
      <c r="F10" s="2"/>
      <c r="G10" s="2"/>
    </row>
    <row r="11" spans="1:7" ht="15.5" x14ac:dyDescent="0.35">
      <c r="A11" s="1">
        <v>10</v>
      </c>
      <c r="B11" s="7" t="s">
        <v>70</v>
      </c>
      <c r="C11" s="2"/>
      <c r="D11" s="2"/>
      <c r="E11" s="2"/>
      <c r="F11" s="2"/>
      <c r="G11" s="2"/>
    </row>
    <row r="12" spans="1:7" ht="15.5" x14ac:dyDescent="0.35">
      <c r="A12" s="1">
        <v>11</v>
      </c>
      <c r="B12" s="7" t="s">
        <v>71</v>
      </c>
      <c r="C12" s="2"/>
      <c r="D12" s="2"/>
      <c r="E12" s="2"/>
      <c r="F12" s="2"/>
      <c r="G12" s="2"/>
    </row>
    <row r="13" spans="1:7" ht="15.5" x14ac:dyDescent="0.35">
      <c r="A13" s="1">
        <v>12</v>
      </c>
      <c r="B13" s="7" t="s">
        <v>72</v>
      </c>
      <c r="C13" s="2"/>
      <c r="D13" s="2"/>
      <c r="E13" s="2"/>
      <c r="F13" s="2"/>
      <c r="G13" s="2"/>
    </row>
    <row r="14" spans="1:7" ht="15.5" x14ac:dyDescent="0.35">
      <c r="A14" s="1">
        <v>13</v>
      </c>
      <c r="B14" s="7" t="s">
        <v>73</v>
      </c>
      <c r="C14" s="2"/>
      <c r="D14" s="2"/>
      <c r="E14" s="2"/>
      <c r="F14" s="2"/>
      <c r="G14" s="2"/>
    </row>
    <row r="15" spans="1:7" ht="15.5" x14ac:dyDescent="0.35">
      <c r="A15" s="1">
        <v>14</v>
      </c>
      <c r="B15" s="7" t="s">
        <v>74</v>
      </c>
      <c r="C15" s="2"/>
      <c r="D15" s="2"/>
      <c r="E15" s="2"/>
      <c r="F15" s="2"/>
      <c r="G15" s="2"/>
    </row>
    <row r="16" spans="1:7" ht="15.5" x14ac:dyDescent="0.35">
      <c r="A16" s="1">
        <v>15</v>
      </c>
      <c r="B16" s="7" t="s">
        <v>75</v>
      </c>
      <c r="C16" s="2"/>
      <c r="D16" s="2"/>
      <c r="E16" s="2"/>
      <c r="F16" s="2"/>
      <c r="G16" s="2"/>
    </row>
    <row r="17" spans="1:7" ht="15.5" x14ac:dyDescent="0.35">
      <c r="A17" s="1">
        <v>16</v>
      </c>
      <c r="B17" s="3" t="s">
        <v>76</v>
      </c>
      <c r="C17" s="2"/>
      <c r="D17" s="2"/>
      <c r="E17" s="2"/>
      <c r="F17" s="2"/>
      <c r="G17" s="2"/>
    </row>
    <row r="18" spans="1:7" ht="15.5" x14ac:dyDescent="0.35">
      <c r="A18" s="1">
        <v>17</v>
      </c>
      <c r="B18" s="7" t="s">
        <v>77</v>
      </c>
      <c r="C18" s="2"/>
      <c r="D18" s="2"/>
      <c r="E18" s="2"/>
      <c r="F18" s="2"/>
      <c r="G18" s="2"/>
    </row>
    <row r="19" spans="1:7" ht="15.5" x14ac:dyDescent="0.35">
      <c r="A19" s="1">
        <v>18</v>
      </c>
      <c r="B19" s="7" t="s">
        <v>78</v>
      </c>
      <c r="C19" s="2"/>
      <c r="D19" s="2"/>
      <c r="E19" s="2"/>
      <c r="F19" s="2"/>
      <c r="G19" s="2"/>
    </row>
    <row r="20" spans="1:7" ht="15.5" x14ac:dyDescent="0.35">
      <c r="A20" s="1">
        <v>19</v>
      </c>
      <c r="B20" s="7" t="s">
        <v>79</v>
      </c>
      <c r="C20" s="2"/>
      <c r="D20" s="2"/>
      <c r="E20" s="2"/>
      <c r="F20" s="2"/>
      <c r="G20" s="2"/>
    </row>
    <row r="21" spans="1:7" ht="15.5" x14ac:dyDescent="0.35">
      <c r="A21" s="1">
        <v>20</v>
      </c>
      <c r="B21" s="7" t="s">
        <v>80</v>
      </c>
      <c r="C21" s="2"/>
      <c r="D21" s="2"/>
      <c r="E21" s="2"/>
      <c r="F21" s="2"/>
      <c r="G21" s="2"/>
    </row>
    <row r="22" spans="1:7" ht="15.5" x14ac:dyDescent="0.35">
      <c r="A22" s="1">
        <v>21</v>
      </c>
      <c r="B22" s="7" t="s">
        <v>81</v>
      </c>
      <c r="C22" s="2"/>
      <c r="D22" s="2"/>
      <c r="E22" s="2"/>
      <c r="F22" s="2"/>
      <c r="G22" s="2"/>
    </row>
    <row r="23" spans="1:7" ht="15.5" x14ac:dyDescent="0.35">
      <c r="A23" s="1">
        <v>22</v>
      </c>
      <c r="B23" s="7" t="s">
        <v>82</v>
      </c>
      <c r="C23" s="2"/>
      <c r="D23" s="2"/>
      <c r="E23" s="2"/>
      <c r="F23" s="2"/>
      <c r="G23" s="2"/>
    </row>
    <row r="24" spans="1:7" ht="15.5" x14ac:dyDescent="0.35">
      <c r="A24" s="1">
        <v>23</v>
      </c>
      <c r="B24" s="7" t="s">
        <v>83</v>
      </c>
      <c r="C24" s="2"/>
      <c r="D24" s="2"/>
      <c r="E24" s="2"/>
      <c r="F24" s="2"/>
      <c r="G24" s="2"/>
    </row>
    <row r="25" spans="1:7" ht="15.5" x14ac:dyDescent="0.35">
      <c r="A25" s="1">
        <v>24</v>
      </c>
      <c r="B25" s="7" t="s">
        <v>84</v>
      </c>
      <c r="C25" s="2"/>
      <c r="D25" s="2"/>
      <c r="E25" s="2"/>
      <c r="F25" s="2"/>
      <c r="G25" s="2"/>
    </row>
    <row r="26" spans="1:7" ht="15.5" x14ac:dyDescent="0.35">
      <c r="A26" s="1">
        <v>25</v>
      </c>
      <c r="B26" s="7" t="s">
        <v>85</v>
      </c>
      <c r="C26" s="2"/>
      <c r="D26" s="2"/>
      <c r="E26" s="2"/>
      <c r="F26" s="2"/>
      <c r="G26" s="2"/>
    </row>
    <row r="27" spans="1:7" ht="15.5" x14ac:dyDescent="0.35">
      <c r="A27" s="1">
        <v>26</v>
      </c>
      <c r="B27" s="7" t="s">
        <v>86</v>
      </c>
      <c r="C27" s="2"/>
      <c r="D27" s="2"/>
      <c r="E27" s="2"/>
      <c r="F27" s="2"/>
      <c r="G27" s="2"/>
    </row>
    <row r="28" spans="1:7" ht="15.5" x14ac:dyDescent="0.35">
      <c r="A28" s="1">
        <v>27</v>
      </c>
      <c r="B28" s="7" t="s">
        <v>87</v>
      </c>
      <c r="C28" s="2"/>
      <c r="D28" s="2"/>
      <c r="E28" s="2"/>
      <c r="F28" s="2"/>
      <c r="G28" s="2"/>
    </row>
    <row r="29" spans="1:7" ht="15.5" x14ac:dyDescent="0.35">
      <c r="A29" s="1">
        <v>28</v>
      </c>
      <c r="B29" s="7" t="s">
        <v>88</v>
      </c>
      <c r="C29" s="2"/>
      <c r="D29" s="2"/>
      <c r="E29" s="2"/>
      <c r="F29" s="2"/>
      <c r="G29" s="2"/>
    </row>
    <row r="30" spans="1:7" ht="15.5" x14ac:dyDescent="0.35">
      <c r="A30" s="1">
        <v>29</v>
      </c>
      <c r="B30" s="7" t="s">
        <v>89</v>
      </c>
      <c r="C30" s="2"/>
      <c r="D30" s="2"/>
      <c r="E30" s="2"/>
      <c r="F30" s="2"/>
      <c r="G30" s="2"/>
    </row>
    <row r="31" spans="1:7" ht="15.5" x14ac:dyDescent="0.35">
      <c r="A31" s="1">
        <v>30</v>
      </c>
      <c r="B31" s="7" t="s">
        <v>90</v>
      </c>
      <c r="C31" s="2"/>
      <c r="D31" s="2"/>
      <c r="E31" s="2"/>
      <c r="F31" s="2"/>
      <c r="G31" s="2"/>
    </row>
    <row r="32" spans="1:7" ht="15.5" x14ac:dyDescent="0.35">
      <c r="A32" s="1">
        <v>31</v>
      </c>
      <c r="B32" s="7" t="s">
        <v>91</v>
      </c>
      <c r="C32" s="2"/>
      <c r="D32" s="2"/>
      <c r="E32" s="2"/>
      <c r="F32" s="2"/>
      <c r="G32" s="2"/>
    </row>
    <row r="33" spans="1:7" ht="15.5" x14ac:dyDescent="0.35">
      <c r="A33" s="1">
        <v>32</v>
      </c>
      <c r="B33" s="7" t="s">
        <v>92</v>
      </c>
      <c r="C33" s="2"/>
      <c r="D33" s="2"/>
      <c r="E33" s="2"/>
      <c r="F33" s="2"/>
      <c r="G33" s="2"/>
    </row>
    <row r="34" spans="1:7" ht="15.5" x14ac:dyDescent="0.35">
      <c r="A34" s="1">
        <v>33</v>
      </c>
      <c r="B34" s="7" t="s">
        <v>93</v>
      </c>
      <c r="C34" s="2"/>
      <c r="D34" s="2"/>
      <c r="E34" s="2"/>
      <c r="F34" s="2"/>
      <c r="G34" s="2"/>
    </row>
    <row r="35" spans="1:7" ht="15.5" x14ac:dyDescent="0.35">
      <c r="A35" s="1">
        <v>34</v>
      </c>
      <c r="B35" s="7" t="s">
        <v>94</v>
      </c>
      <c r="C35" s="2"/>
      <c r="D35" s="2"/>
      <c r="E35" s="2"/>
      <c r="F35" s="2"/>
      <c r="G35" s="2"/>
    </row>
    <row r="36" spans="1:7" ht="15.5" x14ac:dyDescent="0.35">
      <c r="A36" s="1">
        <v>35</v>
      </c>
      <c r="B36" s="7" t="s">
        <v>95</v>
      </c>
      <c r="C36" s="2"/>
      <c r="D36" s="2"/>
      <c r="E36" s="2"/>
      <c r="F36" s="2"/>
      <c r="G36" s="2"/>
    </row>
    <row r="37" spans="1:7" ht="15.5" x14ac:dyDescent="0.35">
      <c r="A37" s="1">
        <v>36</v>
      </c>
      <c r="B37" s="7" t="s">
        <v>96</v>
      </c>
      <c r="C37" s="2"/>
      <c r="D37" s="2"/>
      <c r="E37" s="2"/>
      <c r="F37" s="2"/>
      <c r="G37" s="2"/>
    </row>
    <row r="38" spans="1:7" ht="15.5" x14ac:dyDescent="0.35">
      <c r="A38" s="1">
        <v>37</v>
      </c>
      <c r="B38" s="7" t="s">
        <v>98</v>
      </c>
      <c r="C38" s="2"/>
      <c r="D38" s="2"/>
      <c r="E38" s="2"/>
      <c r="F38" s="2"/>
      <c r="G38" s="2"/>
    </row>
    <row r="39" spans="1:7" ht="15.5" x14ac:dyDescent="0.35">
      <c r="A39" s="1">
        <v>38</v>
      </c>
      <c r="B39" s="7" t="s">
        <v>97</v>
      </c>
      <c r="C39" s="2"/>
      <c r="D39" s="2"/>
      <c r="E39" s="2"/>
      <c r="F39" s="2"/>
      <c r="G39" s="2"/>
    </row>
    <row r="40" spans="1:7" ht="15.5" x14ac:dyDescent="0.35">
      <c r="A40" s="1">
        <v>39</v>
      </c>
      <c r="B40" s="7" t="s">
        <v>99</v>
      </c>
      <c r="C40" s="2"/>
      <c r="D40" s="2"/>
      <c r="E40" s="2"/>
      <c r="F40" s="2"/>
      <c r="G40" s="2"/>
    </row>
    <row r="41" spans="1:7" ht="15.5" x14ac:dyDescent="0.35">
      <c r="A41" s="1">
        <v>40</v>
      </c>
      <c r="B41" s="7" t="s">
        <v>100</v>
      </c>
      <c r="C41" s="2"/>
      <c r="D41" s="2"/>
      <c r="E41" s="2"/>
      <c r="F41" s="2"/>
      <c r="G41" s="2"/>
    </row>
    <row r="42" spans="1:7" ht="15.5" x14ac:dyDescent="0.35">
      <c r="A42" s="1">
        <v>41</v>
      </c>
      <c r="B42" s="7" t="s">
        <v>101</v>
      </c>
      <c r="C42" s="2"/>
      <c r="D42" s="2"/>
      <c r="E42" s="2"/>
      <c r="F42" s="2"/>
      <c r="G42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86A7-F28C-44D2-A837-2253DBFA8CF8}">
  <dimension ref="A1:G208"/>
  <sheetViews>
    <sheetView topLeftCell="A33" workbookViewId="0">
      <selection activeCell="I208" sqref="I208"/>
    </sheetView>
  </sheetViews>
  <sheetFormatPr defaultRowHeight="14.5" x14ac:dyDescent="0.35"/>
  <cols>
    <col min="1" max="1" width="5.453125" customWidth="1"/>
    <col min="2" max="2" width="32.26953125" customWidth="1"/>
    <col min="3" max="3" width="82.54296875" customWidth="1"/>
  </cols>
  <sheetData>
    <row r="1" spans="1:7" x14ac:dyDescent="0.35">
      <c r="A1" s="84" t="s">
        <v>176</v>
      </c>
      <c r="B1" s="84"/>
      <c r="C1" s="84"/>
    </row>
    <row r="2" spans="1:7" x14ac:dyDescent="0.35">
      <c r="A2" s="6"/>
    </row>
    <row r="3" spans="1:7" x14ac:dyDescent="0.35">
      <c r="A3" s="85" t="s">
        <v>48</v>
      </c>
      <c r="B3" s="86" t="s">
        <v>51</v>
      </c>
      <c r="C3" s="87" t="s">
        <v>105</v>
      </c>
      <c r="D3" s="88" t="s">
        <v>106</v>
      </c>
      <c r="E3" s="88"/>
      <c r="F3" s="88"/>
      <c r="G3" s="88"/>
    </row>
    <row r="4" spans="1:7" x14ac:dyDescent="0.35">
      <c r="A4" s="85"/>
      <c r="B4" s="86"/>
      <c r="C4" s="86"/>
      <c r="D4" s="15" t="s">
        <v>107</v>
      </c>
      <c r="E4" s="15" t="s">
        <v>108</v>
      </c>
      <c r="F4" s="15" t="s">
        <v>49</v>
      </c>
      <c r="G4" s="15" t="s">
        <v>174</v>
      </c>
    </row>
    <row r="5" spans="1:7" x14ac:dyDescent="0.35">
      <c r="A5" s="8" t="s">
        <v>109</v>
      </c>
      <c r="B5" s="9" t="s">
        <v>61</v>
      </c>
      <c r="C5" s="9" t="s">
        <v>110</v>
      </c>
      <c r="D5" s="10" t="s">
        <v>111</v>
      </c>
      <c r="E5" s="8"/>
      <c r="F5" s="9"/>
      <c r="G5" s="9"/>
    </row>
    <row r="6" spans="1:7" ht="15" x14ac:dyDescent="0.35">
      <c r="A6" s="9"/>
      <c r="B6" s="9"/>
      <c r="C6" s="9" t="s">
        <v>112</v>
      </c>
      <c r="D6" s="8"/>
      <c r="E6" s="10" t="s">
        <v>113</v>
      </c>
      <c r="F6" s="9"/>
      <c r="G6" s="9"/>
    </row>
    <row r="7" spans="1:7" x14ac:dyDescent="0.35">
      <c r="A7" s="9"/>
      <c r="B7" s="9"/>
      <c r="C7" s="9" t="s">
        <v>114</v>
      </c>
      <c r="D7" s="10" t="s">
        <v>111</v>
      </c>
      <c r="E7" s="8"/>
      <c r="F7" s="9"/>
      <c r="G7" s="9"/>
    </row>
    <row r="8" spans="1:7" x14ac:dyDescent="0.35">
      <c r="A8" s="11"/>
      <c r="B8" s="11"/>
      <c r="C8" s="11" t="s">
        <v>115</v>
      </c>
      <c r="D8" s="12" t="s">
        <v>111</v>
      </c>
      <c r="E8" s="13"/>
      <c r="F8" s="11"/>
      <c r="G8" s="9"/>
    </row>
    <row r="9" spans="1:7" x14ac:dyDescent="0.35">
      <c r="A9" s="9"/>
      <c r="B9" s="9"/>
      <c r="C9" s="9"/>
      <c r="D9" s="9"/>
      <c r="E9" s="9"/>
      <c r="F9" s="9"/>
      <c r="G9" s="9"/>
    </row>
    <row r="10" spans="1:7" x14ac:dyDescent="0.35">
      <c r="A10" s="8" t="s">
        <v>116</v>
      </c>
      <c r="B10" s="9" t="s">
        <v>62</v>
      </c>
      <c r="C10" s="9" t="s">
        <v>110</v>
      </c>
      <c r="D10" s="9"/>
      <c r="E10" s="10" t="s">
        <v>117</v>
      </c>
      <c r="F10" s="9"/>
      <c r="G10" s="9"/>
    </row>
    <row r="11" spans="1:7" x14ac:dyDescent="0.35">
      <c r="A11" s="9"/>
      <c r="B11" s="9"/>
      <c r="C11" s="9" t="s">
        <v>112</v>
      </c>
      <c r="D11" s="9"/>
      <c r="E11" s="10" t="s">
        <v>117</v>
      </c>
      <c r="F11" s="9"/>
      <c r="G11" s="9"/>
    </row>
    <row r="12" spans="1:7" x14ac:dyDescent="0.35">
      <c r="A12" s="9"/>
      <c r="B12" s="9"/>
      <c r="C12" s="9" t="s">
        <v>114</v>
      </c>
      <c r="D12" s="10" t="s">
        <v>111</v>
      </c>
      <c r="E12" s="9"/>
      <c r="F12" s="9"/>
      <c r="G12" s="9"/>
    </row>
    <row r="13" spans="1:7" x14ac:dyDescent="0.35">
      <c r="A13" s="9"/>
      <c r="B13" s="9"/>
      <c r="C13" s="9" t="s">
        <v>118</v>
      </c>
      <c r="D13" s="10" t="s">
        <v>111</v>
      </c>
      <c r="E13" s="9"/>
      <c r="F13" s="9"/>
      <c r="G13" s="9"/>
    </row>
    <row r="14" spans="1:7" x14ac:dyDescent="0.35">
      <c r="A14" s="9"/>
      <c r="B14" s="9"/>
      <c r="C14" s="9"/>
      <c r="D14" s="9"/>
      <c r="E14" s="9"/>
      <c r="F14" s="9"/>
      <c r="G14" s="9"/>
    </row>
    <row r="15" spans="1:7" x14ac:dyDescent="0.35">
      <c r="A15" s="8" t="s">
        <v>119</v>
      </c>
      <c r="B15" s="9" t="s">
        <v>63</v>
      </c>
      <c r="C15" s="9" t="s">
        <v>110</v>
      </c>
      <c r="D15" s="10" t="s">
        <v>111</v>
      </c>
      <c r="E15" s="9"/>
      <c r="F15" s="9"/>
      <c r="G15" s="9"/>
    </row>
    <row r="16" spans="1:7" x14ac:dyDescent="0.35">
      <c r="A16" s="9"/>
      <c r="B16" s="9"/>
      <c r="C16" s="9" t="s">
        <v>112</v>
      </c>
      <c r="D16" s="10" t="s">
        <v>111</v>
      </c>
      <c r="E16" s="9"/>
      <c r="F16" s="9"/>
      <c r="G16" s="9"/>
    </row>
    <row r="17" spans="1:7" x14ac:dyDescent="0.35">
      <c r="A17" s="9"/>
      <c r="B17" s="9"/>
      <c r="C17" s="9" t="s">
        <v>114</v>
      </c>
      <c r="D17" s="10" t="s">
        <v>111</v>
      </c>
      <c r="E17" s="9"/>
      <c r="F17" s="9"/>
      <c r="G17" s="9"/>
    </row>
    <row r="18" spans="1:7" x14ac:dyDescent="0.35">
      <c r="A18" s="9"/>
      <c r="B18" s="9"/>
      <c r="C18" s="9" t="s">
        <v>120</v>
      </c>
      <c r="D18" s="10" t="s">
        <v>111</v>
      </c>
      <c r="E18" s="9"/>
      <c r="F18" s="9"/>
      <c r="G18" s="9"/>
    </row>
    <row r="19" spans="1:7" x14ac:dyDescent="0.35">
      <c r="A19" s="9"/>
      <c r="B19" s="9"/>
      <c r="C19" s="9"/>
      <c r="D19" s="9"/>
      <c r="E19" s="9"/>
      <c r="F19" s="9"/>
      <c r="G19" s="9"/>
    </row>
    <row r="20" spans="1:7" x14ac:dyDescent="0.35">
      <c r="A20" s="8" t="s">
        <v>121</v>
      </c>
      <c r="B20" s="9" t="s">
        <v>64</v>
      </c>
      <c r="C20" s="9" t="s">
        <v>110</v>
      </c>
      <c r="D20" s="10" t="s">
        <v>111</v>
      </c>
      <c r="E20" s="8"/>
      <c r="F20" s="9"/>
      <c r="G20" s="9"/>
    </row>
    <row r="21" spans="1:7" x14ac:dyDescent="0.35">
      <c r="A21" s="9"/>
      <c r="B21" s="9"/>
      <c r="C21" s="9" t="s">
        <v>112</v>
      </c>
      <c r="D21" s="8"/>
      <c r="E21" s="10" t="s">
        <v>117</v>
      </c>
      <c r="F21" s="9"/>
      <c r="G21" s="9"/>
    </row>
    <row r="22" spans="1:7" x14ac:dyDescent="0.35">
      <c r="A22" s="9"/>
      <c r="B22" s="9"/>
      <c r="C22" s="9" t="s">
        <v>114</v>
      </c>
      <c r="D22" s="10" t="s">
        <v>111</v>
      </c>
      <c r="E22" s="8"/>
      <c r="F22" s="9"/>
      <c r="G22" s="9"/>
    </row>
    <row r="23" spans="1:7" x14ac:dyDescent="0.35">
      <c r="A23" s="9"/>
      <c r="B23" s="9"/>
      <c r="C23" s="9" t="s">
        <v>118</v>
      </c>
      <c r="D23" s="10" t="s">
        <v>111</v>
      </c>
      <c r="E23" s="8"/>
      <c r="F23" s="9"/>
      <c r="G23" s="9"/>
    </row>
    <row r="24" spans="1:7" x14ac:dyDescent="0.35">
      <c r="A24" s="9"/>
      <c r="B24" s="9"/>
      <c r="C24" s="9"/>
      <c r="D24" s="9"/>
      <c r="E24" s="9"/>
      <c r="F24" s="9"/>
      <c r="G24" s="9"/>
    </row>
    <row r="25" spans="1:7" x14ac:dyDescent="0.35">
      <c r="A25" s="9" t="s">
        <v>122</v>
      </c>
      <c r="B25" s="9" t="s">
        <v>65</v>
      </c>
      <c r="C25" s="9" t="s">
        <v>110</v>
      </c>
      <c r="D25" s="10" t="s">
        <v>111</v>
      </c>
      <c r="E25" s="9"/>
      <c r="F25" s="9"/>
      <c r="G25" s="9"/>
    </row>
    <row r="26" spans="1:7" x14ac:dyDescent="0.35">
      <c r="A26" s="9"/>
      <c r="B26" s="9"/>
      <c r="C26" s="9" t="s">
        <v>112</v>
      </c>
      <c r="D26" s="10" t="s">
        <v>111</v>
      </c>
      <c r="E26" s="9"/>
      <c r="F26" s="9"/>
      <c r="G26" s="9"/>
    </row>
    <row r="27" spans="1:7" x14ac:dyDescent="0.35">
      <c r="A27" s="9"/>
      <c r="B27" s="9"/>
      <c r="C27" s="9" t="s">
        <v>114</v>
      </c>
      <c r="D27" s="10" t="s">
        <v>111</v>
      </c>
      <c r="E27" s="9"/>
      <c r="F27" s="9"/>
      <c r="G27" s="9"/>
    </row>
    <row r="28" spans="1:7" x14ac:dyDescent="0.35">
      <c r="A28" s="9"/>
      <c r="B28" s="9"/>
      <c r="C28" s="9" t="s">
        <v>118</v>
      </c>
      <c r="D28" s="10" t="s">
        <v>111</v>
      </c>
      <c r="E28" s="9"/>
      <c r="F28" s="9"/>
      <c r="G28" s="9"/>
    </row>
    <row r="29" spans="1:7" x14ac:dyDescent="0.35">
      <c r="A29" s="9"/>
      <c r="B29" s="9"/>
      <c r="C29" s="9"/>
      <c r="D29" s="9"/>
      <c r="E29" s="9"/>
      <c r="F29" s="9"/>
      <c r="G29" s="9"/>
    </row>
    <row r="30" spans="1:7" x14ac:dyDescent="0.35">
      <c r="A30" s="9" t="s">
        <v>124</v>
      </c>
      <c r="B30" s="9" t="s">
        <v>66</v>
      </c>
      <c r="C30" s="9" t="s">
        <v>110</v>
      </c>
      <c r="D30" s="10" t="s">
        <v>111</v>
      </c>
      <c r="E30" s="8"/>
      <c r="F30" s="9"/>
      <c r="G30" s="9"/>
    </row>
    <row r="31" spans="1:7" x14ac:dyDescent="0.35">
      <c r="A31" s="9"/>
      <c r="B31" s="9"/>
      <c r="C31" s="9" t="s">
        <v>112</v>
      </c>
      <c r="D31" s="10" t="s">
        <v>111</v>
      </c>
      <c r="E31" s="8"/>
      <c r="F31" s="9"/>
      <c r="G31" s="9"/>
    </row>
    <row r="32" spans="1:7" x14ac:dyDescent="0.35">
      <c r="A32" s="9"/>
      <c r="B32" s="9"/>
      <c r="C32" s="9" t="s">
        <v>114</v>
      </c>
      <c r="D32" s="8"/>
      <c r="E32" s="10" t="s">
        <v>117</v>
      </c>
      <c r="F32" s="9"/>
      <c r="G32" s="9"/>
    </row>
    <row r="33" spans="1:7" x14ac:dyDescent="0.35">
      <c r="A33" s="9"/>
      <c r="B33" s="9"/>
      <c r="C33" s="9" t="s">
        <v>118</v>
      </c>
      <c r="D33" s="10" t="s">
        <v>111</v>
      </c>
      <c r="E33" s="8"/>
      <c r="F33" s="9"/>
      <c r="G33" s="9"/>
    </row>
    <row r="34" spans="1:7" x14ac:dyDescent="0.35">
      <c r="A34" s="9"/>
      <c r="B34" s="9"/>
      <c r="C34" s="9"/>
      <c r="D34" s="9"/>
      <c r="E34" s="9"/>
      <c r="F34" s="9"/>
      <c r="G34" s="9"/>
    </row>
    <row r="35" spans="1:7" x14ac:dyDescent="0.35">
      <c r="A35" s="9" t="s">
        <v>126</v>
      </c>
      <c r="B35" s="9" t="s">
        <v>67</v>
      </c>
      <c r="C35" s="9" t="s">
        <v>110</v>
      </c>
      <c r="D35" s="10" t="s">
        <v>111</v>
      </c>
      <c r="E35" s="8"/>
      <c r="F35" s="9"/>
      <c r="G35" s="9"/>
    </row>
    <row r="36" spans="1:7" x14ac:dyDescent="0.35">
      <c r="A36" s="9"/>
      <c r="B36" s="9"/>
      <c r="C36" s="9" t="s">
        <v>112</v>
      </c>
      <c r="D36" s="8"/>
      <c r="E36" s="10" t="s">
        <v>117</v>
      </c>
      <c r="F36" s="9"/>
      <c r="G36" s="9"/>
    </row>
    <row r="37" spans="1:7" x14ac:dyDescent="0.35">
      <c r="A37" s="9"/>
      <c r="B37" s="9"/>
      <c r="C37" s="9" t="s">
        <v>114</v>
      </c>
      <c r="D37" s="10" t="s">
        <v>111</v>
      </c>
      <c r="E37" s="8"/>
      <c r="F37" s="9"/>
      <c r="G37" s="9"/>
    </row>
    <row r="38" spans="1:7" x14ac:dyDescent="0.35">
      <c r="A38" s="9"/>
      <c r="B38" s="9"/>
      <c r="C38" s="9" t="s">
        <v>118</v>
      </c>
      <c r="D38" s="10" t="s">
        <v>111</v>
      </c>
      <c r="E38" s="8"/>
      <c r="F38" s="9"/>
      <c r="G38" s="9"/>
    </row>
    <row r="39" spans="1:7" x14ac:dyDescent="0.35">
      <c r="A39" s="9"/>
      <c r="B39" s="9"/>
      <c r="C39" s="9"/>
      <c r="D39" s="8"/>
      <c r="E39" s="8"/>
      <c r="F39" s="9"/>
      <c r="G39" s="9"/>
    </row>
    <row r="40" spans="1:7" x14ac:dyDescent="0.35">
      <c r="A40" s="9" t="s">
        <v>127</v>
      </c>
      <c r="B40" s="9" t="s">
        <v>68</v>
      </c>
      <c r="C40" s="9" t="s">
        <v>110</v>
      </c>
      <c r="D40" s="10" t="s">
        <v>111</v>
      </c>
      <c r="E40" s="8"/>
      <c r="F40" s="9"/>
      <c r="G40" s="9"/>
    </row>
    <row r="41" spans="1:7" x14ac:dyDescent="0.35">
      <c r="A41" s="9"/>
      <c r="B41" s="9"/>
      <c r="C41" s="9" t="s">
        <v>112</v>
      </c>
      <c r="D41" s="10" t="s">
        <v>111</v>
      </c>
      <c r="E41" s="8"/>
      <c r="F41" s="9"/>
      <c r="G41" s="9"/>
    </row>
    <row r="42" spans="1:7" x14ac:dyDescent="0.35">
      <c r="A42" s="9"/>
      <c r="B42" s="9"/>
      <c r="C42" s="9" t="s">
        <v>114</v>
      </c>
      <c r="D42" s="10" t="s">
        <v>111</v>
      </c>
      <c r="E42" s="8"/>
      <c r="F42" s="9"/>
      <c r="G42" s="9"/>
    </row>
    <row r="43" spans="1:7" x14ac:dyDescent="0.35">
      <c r="A43" s="9"/>
      <c r="B43" s="9"/>
      <c r="C43" s="9" t="s">
        <v>118</v>
      </c>
      <c r="D43" s="10" t="s">
        <v>111</v>
      </c>
      <c r="E43" s="8"/>
      <c r="F43" s="9"/>
      <c r="G43" s="9"/>
    </row>
    <row r="44" spans="1:7" x14ac:dyDescent="0.35">
      <c r="A44" s="9"/>
      <c r="B44" s="9"/>
      <c r="C44" s="9"/>
      <c r="D44" s="8"/>
      <c r="E44" s="8"/>
      <c r="F44" s="9"/>
      <c r="G44" s="9"/>
    </row>
    <row r="45" spans="1:7" x14ac:dyDescent="0.35">
      <c r="A45" s="9" t="s">
        <v>129</v>
      </c>
      <c r="B45" s="9" t="s">
        <v>69</v>
      </c>
      <c r="C45" s="9" t="s">
        <v>110</v>
      </c>
      <c r="D45" s="10" t="s">
        <v>111</v>
      </c>
      <c r="E45" s="8"/>
      <c r="F45" s="9"/>
      <c r="G45" s="9"/>
    </row>
    <row r="46" spans="1:7" x14ac:dyDescent="0.35">
      <c r="A46" s="9"/>
      <c r="B46" s="9"/>
      <c r="C46" s="9" t="s">
        <v>112</v>
      </c>
      <c r="D46" s="10" t="s">
        <v>111</v>
      </c>
      <c r="E46" s="8"/>
      <c r="F46" s="9"/>
      <c r="G46" s="9"/>
    </row>
    <row r="47" spans="1:7" x14ac:dyDescent="0.35">
      <c r="A47" s="9"/>
      <c r="B47" s="9"/>
      <c r="C47" s="9" t="s">
        <v>114</v>
      </c>
      <c r="D47" s="10" t="s">
        <v>111</v>
      </c>
      <c r="E47" s="8"/>
      <c r="F47" s="9"/>
      <c r="G47" s="9"/>
    </row>
    <row r="48" spans="1:7" x14ac:dyDescent="0.35">
      <c r="A48" s="9"/>
      <c r="B48" s="9"/>
      <c r="C48" s="9" t="s">
        <v>118</v>
      </c>
      <c r="D48" s="10" t="s">
        <v>111</v>
      </c>
      <c r="E48" s="8"/>
      <c r="F48" s="9"/>
      <c r="G48" s="9"/>
    </row>
    <row r="49" spans="1:7" x14ac:dyDescent="0.35">
      <c r="A49" s="9"/>
      <c r="B49" s="9"/>
      <c r="C49" s="9"/>
      <c r="D49" s="8"/>
      <c r="E49" s="8"/>
      <c r="F49" s="9"/>
      <c r="G49" s="9"/>
    </row>
    <row r="50" spans="1:7" x14ac:dyDescent="0.35">
      <c r="A50" s="9" t="s">
        <v>130</v>
      </c>
      <c r="B50" s="9" t="s">
        <v>70</v>
      </c>
      <c r="C50" s="9" t="s">
        <v>110</v>
      </c>
      <c r="D50" s="10" t="s">
        <v>111</v>
      </c>
      <c r="E50" s="8"/>
      <c r="F50" s="9"/>
      <c r="G50" s="9"/>
    </row>
    <row r="51" spans="1:7" x14ac:dyDescent="0.35">
      <c r="A51" s="9"/>
      <c r="B51" s="9"/>
      <c r="C51" s="9" t="s">
        <v>112</v>
      </c>
      <c r="D51" s="10" t="s">
        <v>111</v>
      </c>
      <c r="E51" s="8"/>
      <c r="F51" s="9"/>
      <c r="G51" s="9"/>
    </row>
    <row r="52" spans="1:7" x14ac:dyDescent="0.35">
      <c r="A52" s="9"/>
      <c r="B52" s="9"/>
      <c r="C52" s="9" t="s">
        <v>114</v>
      </c>
      <c r="D52" s="10" t="s">
        <v>111</v>
      </c>
      <c r="E52" s="8"/>
      <c r="F52" s="9"/>
      <c r="G52" s="9"/>
    </row>
    <row r="53" spans="1:7" x14ac:dyDescent="0.35">
      <c r="A53" s="9"/>
      <c r="B53" s="9"/>
      <c r="C53" s="9" t="s">
        <v>118</v>
      </c>
      <c r="D53" s="10" t="s">
        <v>111</v>
      </c>
      <c r="E53" s="8"/>
      <c r="F53" s="9"/>
      <c r="G53" s="9"/>
    </row>
    <row r="54" spans="1:7" x14ac:dyDescent="0.35">
      <c r="A54" s="9"/>
      <c r="B54" s="9"/>
      <c r="C54" s="9"/>
      <c r="D54" s="8"/>
      <c r="E54" s="8"/>
      <c r="F54" s="9"/>
      <c r="G54" s="9"/>
    </row>
    <row r="55" spans="1:7" x14ac:dyDescent="0.35">
      <c r="A55" s="9" t="s">
        <v>131</v>
      </c>
      <c r="B55" s="9" t="s">
        <v>71</v>
      </c>
      <c r="C55" s="9" t="s">
        <v>110</v>
      </c>
      <c r="D55" s="10" t="s">
        <v>111</v>
      </c>
      <c r="E55" s="8"/>
      <c r="F55" s="9"/>
      <c r="G55" s="9"/>
    </row>
    <row r="56" spans="1:7" x14ac:dyDescent="0.35">
      <c r="A56" s="9"/>
      <c r="B56" s="9"/>
      <c r="C56" s="9" t="s">
        <v>112</v>
      </c>
      <c r="D56" s="10"/>
      <c r="E56" s="10" t="s">
        <v>117</v>
      </c>
      <c r="F56" s="9"/>
      <c r="G56" s="9"/>
    </row>
    <row r="57" spans="1:7" x14ac:dyDescent="0.35">
      <c r="A57" s="9"/>
      <c r="B57" s="9"/>
      <c r="C57" s="9" t="s">
        <v>114</v>
      </c>
      <c r="D57" s="10" t="s">
        <v>111</v>
      </c>
      <c r="E57" s="8"/>
      <c r="F57" s="9"/>
      <c r="G57" s="9"/>
    </row>
    <row r="58" spans="1:7" x14ac:dyDescent="0.35">
      <c r="A58" s="9"/>
      <c r="B58" s="9"/>
      <c r="C58" s="9" t="s">
        <v>118</v>
      </c>
      <c r="D58" s="10" t="s">
        <v>111</v>
      </c>
      <c r="E58" s="8"/>
      <c r="F58" s="9"/>
      <c r="G58" s="9"/>
    </row>
    <row r="59" spans="1:7" x14ac:dyDescent="0.35">
      <c r="A59" s="9"/>
      <c r="B59" s="9"/>
      <c r="C59" s="9"/>
      <c r="D59" s="9"/>
      <c r="E59" s="9"/>
      <c r="F59" s="9"/>
      <c r="G59" s="9"/>
    </row>
    <row r="60" spans="1:7" x14ac:dyDescent="0.35">
      <c r="A60" s="9" t="s">
        <v>133</v>
      </c>
      <c r="B60" s="9" t="s">
        <v>72</v>
      </c>
      <c r="C60" s="9" t="s">
        <v>110</v>
      </c>
      <c r="D60" s="14"/>
      <c r="E60" s="10" t="s">
        <v>117</v>
      </c>
      <c r="F60" s="9"/>
      <c r="G60" s="9"/>
    </row>
    <row r="61" spans="1:7" x14ac:dyDescent="0.35">
      <c r="A61" s="9"/>
      <c r="B61" s="9"/>
      <c r="C61" s="9" t="s">
        <v>112</v>
      </c>
      <c r="D61" s="9"/>
      <c r="E61" s="10" t="s">
        <v>117</v>
      </c>
      <c r="F61" s="9"/>
      <c r="G61" s="9"/>
    </row>
    <row r="62" spans="1:7" x14ac:dyDescent="0.35">
      <c r="A62" s="9"/>
      <c r="B62" s="9"/>
      <c r="C62" s="9" t="s">
        <v>114</v>
      </c>
      <c r="D62" s="14"/>
      <c r="E62" s="10" t="s">
        <v>117</v>
      </c>
      <c r="F62" s="9"/>
      <c r="G62" s="9"/>
    </row>
    <row r="63" spans="1:7" x14ac:dyDescent="0.35">
      <c r="A63" s="9"/>
      <c r="B63" s="9"/>
      <c r="C63" s="9" t="s">
        <v>118</v>
      </c>
      <c r="D63" s="10" t="s">
        <v>111</v>
      </c>
      <c r="E63" s="8"/>
      <c r="F63" s="9"/>
      <c r="G63" s="9"/>
    </row>
    <row r="64" spans="1:7" x14ac:dyDescent="0.35">
      <c r="A64" s="9"/>
      <c r="B64" s="9"/>
      <c r="C64" s="9"/>
      <c r="D64" s="8"/>
      <c r="E64" s="8"/>
      <c r="F64" s="9"/>
      <c r="G64" s="9"/>
    </row>
    <row r="65" spans="1:7" x14ac:dyDescent="0.35">
      <c r="A65" s="9" t="s">
        <v>134</v>
      </c>
      <c r="B65" s="9" t="s">
        <v>73</v>
      </c>
      <c r="C65" s="9" t="s">
        <v>110</v>
      </c>
      <c r="D65" s="10" t="s">
        <v>111</v>
      </c>
      <c r="E65" s="10"/>
      <c r="F65" s="9"/>
      <c r="G65" s="9"/>
    </row>
    <row r="66" spans="1:7" x14ac:dyDescent="0.35">
      <c r="A66" s="9"/>
      <c r="B66" s="9"/>
      <c r="C66" s="9" t="s">
        <v>112</v>
      </c>
      <c r="D66" s="10" t="s">
        <v>111</v>
      </c>
      <c r="E66" s="10"/>
      <c r="F66" s="9"/>
      <c r="G66" s="9"/>
    </row>
    <row r="67" spans="1:7" x14ac:dyDescent="0.35">
      <c r="A67" s="9"/>
      <c r="B67" s="9"/>
      <c r="C67" s="9" t="s">
        <v>114</v>
      </c>
      <c r="D67" s="8"/>
      <c r="E67" s="10" t="s">
        <v>117</v>
      </c>
      <c r="F67" s="9"/>
      <c r="G67" s="9"/>
    </row>
    <row r="68" spans="1:7" x14ac:dyDescent="0.35">
      <c r="A68" s="9"/>
      <c r="B68" s="9"/>
      <c r="C68" s="9" t="s">
        <v>118</v>
      </c>
      <c r="D68" s="10" t="s">
        <v>111</v>
      </c>
      <c r="E68" s="8"/>
      <c r="F68" s="9"/>
      <c r="G68" s="9"/>
    </row>
    <row r="69" spans="1:7" x14ac:dyDescent="0.35">
      <c r="A69" s="9"/>
      <c r="B69" s="9"/>
      <c r="C69" s="9"/>
      <c r="D69" s="8"/>
      <c r="E69" s="8"/>
      <c r="F69" s="9"/>
      <c r="G69" s="9"/>
    </row>
    <row r="70" spans="1:7" x14ac:dyDescent="0.35">
      <c r="A70" s="9" t="s">
        <v>136</v>
      </c>
      <c r="B70" s="9" t="s">
        <v>74</v>
      </c>
      <c r="C70" s="9" t="s">
        <v>110</v>
      </c>
      <c r="D70" s="10" t="s">
        <v>111</v>
      </c>
      <c r="E70" s="8"/>
      <c r="F70" s="9"/>
      <c r="G70" s="9"/>
    </row>
    <row r="71" spans="1:7" x14ac:dyDescent="0.35">
      <c r="A71" s="9"/>
      <c r="B71" s="9"/>
      <c r="C71" s="9" t="s">
        <v>112</v>
      </c>
      <c r="D71" s="10" t="s">
        <v>111</v>
      </c>
      <c r="E71" s="8"/>
      <c r="F71" s="9"/>
      <c r="G71" s="9"/>
    </row>
    <row r="72" spans="1:7" x14ac:dyDescent="0.35">
      <c r="A72" s="9"/>
      <c r="B72" s="9"/>
      <c r="C72" s="9" t="s">
        <v>114</v>
      </c>
      <c r="D72" s="8"/>
      <c r="E72" s="10" t="s">
        <v>117</v>
      </c>
      <c r="F72" s="9"/>
      <c r="G72" s="9"/>
    </row>
    <row r="73" spans="1:7" x14ac:dyDescent="0.35">
      <c r="A73" s="9"/>
      <c r="B73" s="9"/>
      <c r="C73" s="9" t="s">
        <v>118</v>
      </c>
      <c r="D73" s="10" t="s">
        <v>111</v>
      </c>
      <c r="E73" s="8"/>
      <c r="F73" s="9"/>
      <c r="G73" s="9"/>
    </row>
    <row r="74" spans="1:7" x14ac:dyDescent="0.35">
      <c r="A74" s="9"/>
      <c r="B74" s="9"/>
      <c r="C74" s="9"/>
      <c r="D74" s="9"/>
      <c r="E74" s="9"/>
      <c r="F74" s="9"/>
      <c r="G74" s="9"/>
    </row>
    <row r="75" spans="1:7" x14ac:dyDescent="0.35">
      <c r="A75" s="9" t="s">
        <v>137</v>
      </c>
      <c r="B75" s="9" t="s">
        <v>75</v>
      </c>
      <c r="C75" s="9" t="s">
        <v>110</v>
      </c>
      <c r="D75" s="10" t="s">
        <v>111</v>
      </c>
      <c r="E75" s="9"/>
      <c r="F75" s="9"/>
      <c r="G75" s="9"/>
    </row>
    <row r="76" spans="1:7" x14ac:dyDescent="0.35">
      <c r="A76" s="9"/>
      <c r="B76" s="9"/>
      <c r="C76" s="9" t="s">
        <v>112</v>
      </c>
      <c r="D76" s="10" t="s">
        <v>111</v>
      </c>
      <c r="E76" s="9"/>
      <c r="F76" s="9"/>
      <c r="G76" s="9"/>
    </row>
    <row r="77" spans="1:7" x14ac:dyDescent="0.35">
      <c r="A77" s="9"/>
      <c r="B77" s="9"/>
      <c r="C77" s="9" t="s">
        <v>114</v>
      </c>
      <c r="D77" s="10" t="s">
        <v>111</v>
      </c>
      <c r="E77" s="9"/>
      <c r="F77" s="9"/>
      <c r="G77" s="9"/>
    </row>
    <row r="78" spans="1:7" x14ac:dyDescent="0.35">
      <c r="A78" s="9"/>
      <c r="B78" s="9"/>
      <c r="C78" s="9" t="s">
        <v>118</v>
      </c>
      <c r="D78" s="10" t="s">
        <v>111</v>
      </c>
      <c r="E78" s="9"/>
      <c r="F78" s="9"/>
      <c r="G78" s="9"/>
    </row>
    <row r="79" spans="1:7" x14ac:dyDescent="0.35">
      <c r="A79" s="9"/>
      <c r="B79" s="9"/>
      <c r="C79" s="9"/>
      <c r="D79" s="9"/>
      <c r="E79" s="9"/>
      <c r="F79" s="9"/>
      <c r="G79" s="9"/>
    </row>
    <row r="80" spans="1:7" x14ac:dyDescent="0.35">
      <c r="A80" s="9" t="s">
        <v>138</v>
      </c>
      <c r="B80" s="9" t="s">
        <v>76</v>
      </c>
      <c r="C80" s="9" t="s">
        <v>110</v>
      </c>
      <c r="D80" s="10" t="s">
        <v>111</v>
      </c>
      <c r="E80" s="8"/>
      <c r="F80" s="9"/>
      <c r="G80" s="9"/>
    </row>
    <row r="81" spans="1:7" x14ac:dyDescent="0.35">
      <c r="A81" s="9"/>
      <c r="B81" s="9"/>
      <c r="C81" s="9" t="s">
        <v>112</v>
      </c>
      <c r="D81" s="10" t="s">
        <v>111</v>
      </c>
      <c r="E81" s="8"/>
      <c r="F81" s="9"/>
      <c r="G81" s="9"/>
    </row>
    <row r="82" spans="1:7" x14ac:dyDescent="0.35">
      <c r="A82" s="9"/>
      <c r="B82" s="9"/>
      <c r="C82" s="9" t="s">
        <v>114</v>
      </c>
      <c r="D82" s="10" t="s">
        <v>111</v>
      </c>
      <c r="E82" s="8"/>
      <c r="F82" s="9"/>
      <c r="G82" s="9"/>
    </row>
    <row r="83" spans="1:7" x14ac:dyDescent="0.35">
      <c r="A83" s="9"/>
      <c r="B83" s="9"/>
      <c r="C83" s="9" t="s">
        <v>118</v>
      </c>
      <c r="D83" s="10" t="s">
        <v>111</v>
      </c>
      <c r="E83" s="8"/>
      <c r="F83" s="9"/>
      <c r="G83" s="9"/>
    </row>
    <row r="84" spans="1:7" x14ac:dyDescent="0.35">
      <c r="A84" s="9"/>
      <c r="B84" s="9"/>
      <c r="C84" s="9"/>
      <c r="D84" s="8"/>
      <c r="E84" s="8"/>
      <c r="F84" s="9"/>
      <c r="G84" s="9"/>
    </row>
    <row r="85" spans="1:7" x14ac:dyDescent="0.35">
      <c r="A85" s="9" t="s">
        <v>139</v>
      </c>
      <c r="B85" s="9" t="s">
        <v>77</v>
      </c>
      <c r="C85" s="9" t="s">
        <v>110</v>
      </c>
      <c r="D85" s="10" t="s">
        <v>111</v>
      </c>
      <c r="E85" s="8"/>
      <c r="F85" s="9"/>
      <c r="G85" s="9"/>
    </row>
    <row r="86" spans="1:7" x14ac:dyDescent="0.35">
      <c r="A86" s="9"/>
      <c r="B86" s="9"/>
      <c r="C86" s="9" t="s">
        <v>140</v>
      </c>
      <c r="D86" s="8"/>
      <c r="E86" s="10" t="s">
        <v>117</v>
      </c>
      <c r="F86" s="9"/>
      <c r="G86" s="9"/>
    </row>
    <row r="87" spans="1:7" x14ac:dyDescent="0.35">
      <c r="A87" s="9"/>
      <c r="B87" s="9"/>
      <c r="C87" s="9" t="s">
        <v>114</v>
      </c>
      <c r="D87" s="10" t="s">
        <v>111</v>
      </c>
      <c r="E87" s="8"/>
      <c r="F87" s="9"/>
      <c r="G87" s="9"/>
    </row>
    <row r="88" spans="1:7" x14ac:dyDescent="0.35">
      <c r="A88" s="9"/>
      <c r="B88" s="9"/>
      <c r="C88" s="9" t="s">
        <v>118</v>
      </c>
      <c r="D88" s="10" t="s">
        <v>111</v>
      </c>
      <c r="E88" s="8"/>
      <c r="F88" s="9"/>
      <c r="G88" s="9"/>
    </row>
    <row r="89" spans="1:7" x14ac:dyDescent="0.35">
      <c r="A89" s="9"/>
      <c r="B89" s="9"/>
      <c r="C89" s="9"/>
      <c r="D89" s="9"/>
      <c r="E89" s="9"/>
      <c r="F89" s="9"/>
      <c r="G89" s="9"/>
    </row>
    <row r="90" spans="1:7" x14ac:dyDescent="0.35">
      <c r="A90" s="9" t="s">
        <v>141</v>
      </c>
      <c r="B90" s="9" t="s">
        <v>78</v>
      </c>
      <c r="C90" s="9" t="s">
        <v>110</v>
      </c>
      <c r="D90" s="10" t="s">
        <v>111</v>
      </c>
      <c r="E90" s="8"/>
      <c r="F90" s="9"/>
      <c r="G90" s="9"/>
    </row>
    <row r="91" spans="1:7" x14ac:dyDescent="0.35">
      <c r="A91" s="9"/>
      <c r="B91" s="9"/>
      <c r="C91" s="9" t="s">
        <v>112</v>
      </c>
      <c r="D91" s="10" t="s">
        <v>111</v>
      </c>
      <c r="E91" s="8"/>
      <c r="F91" s="9"/>
      <c r="G91" s="9"/>
    </row>
    <row r="92" spans="1:7" x14ac:dyDescent="0.35">
      <c r="A92" s="9"/>
      <c r="B92" s="9"/>
      <c r="C92" s="9" t="s">
        <v>114</v>
      </c>
      <c r="D92" s="10" t="s">
        <v>111</v>
      </c>
      <c r="E92" s="8"/>
      <c r="F92" s="9"/>
      <c r="G92" s="9"/>
    </row>
    <row r="93" spans="1:7" x14ac:dyDescent="0.35">
      <c r="A93" s="9"/>
      <c r="B93" s="9"/>
      <c r="C93" s="9" t="s">
        <v>118</v>
      </c>
      <c r="D93" s="10" t="s">
        <v>111</v>
      </c>
      <c r="E93" s="8"/>
      <c r="F93" s="9"/>
      <c r="G93" s="9"/>
    </row>
    <row r="94" spans="1:7" x14ac:dyDescent="0.35">
      <c r="A94" s="9"/>
      <c r="B94" s="9"/>
      <c r="C94" s="9"/>
      <c r="D94" s="8"/>
      <c r="E94" s="8"/>
      <c r="F94" s="9"/>
      <c r="G94" s="9"/>
    </row>
    <row r="95" spans="1:7" x14ac:dyDescent="0.35">
      <c r="A95" s="9" t="s">
        <v>143</v>
      </c>
      <c r="B95" s="9" t="s">
        <v>79</v>
      </c>
      <c r="C95" s="9" t="s">
        <v>110</v>
      </c>
      <c r="D95" s="10" t="s">
        <v>111</v>
      </c>
      <c r="E95" s="8"/>
      <c r="F95" s="9"/>
      <c r="G95" s="9"/>
    </row>
    <row r="96" spans="1:7" x14ac:dyDescent="0.35">
      <c r="A96" s="9"/>
      <c r="B96" s="9"/>
      <c r="C96" s="9" t="s">
        <v>112</v>
      </c>
      <c r="D96" s="10" t="s">
        <v>111</v>
      </c>
      <c r="E96" s="8"/>
      <c r="F96" s="9"/>
      <c r="G96" s="9"/>
    </row>
    <row r="97" spans="1:7" x14ac:dyDescent="0.35">
      <c r="A97" s="9"/>
      <c r="B97" s="9"/>
      <c r="C97" s="9" t="s">
        <v>114</v>
      </c>
      <c r="D97" s="10" t="s">
        <v>111</v>
      </c>
      <c r="E97" s="8"/>
      <c r="F97" s="9"/>
      <c r="G97" s="9"/>
    </row>
    <row r="98" spans="1:7" x14ac:dyDescent="0.35">
      <c r="A98" s="9"/>
      <c r="B98" s="9"/>
      <c r="C98" s="9" t="s">
        <v>118</v>
      </c>
      <c r="D98" s="10" t="s">
        <v>111</v>
      </c>
      <c r="E98" s="8"/>
      <c r="F98" s="9"/>
      <c r="G98" s="9"/>
    </row>
    <row r="99" spans="1:7" x14ac:dyDescent="0.35">
      <c r="A99" s="9"/>
      <c r="B99" s="9"/>
      <c r="C99" s="9"/>
      <c r="D99" s="8"/>
      <c r="E99" s="8"/>
      <c r="F99" s="9"/>
      <c r="G99" s="9"/>
    </row>
    <row r="100" spans="1:7" x14ac:dyDescent="0.35">
      <c r="A100" s="9" t="s">
        <v>144</v>
      </c>
      <c r="B100" s="9" t="s">
        <v>80</v>
      </c>
      <c r="C100" s="9" t="s">
        <v>110</v>
      </c>
      <c r="D100" s="10" t="s">
        <v>111</v>
      </c>
      <c r="E100" s="8"/>
      <c r="F100" s="9"/>
      <c r="G100" s="9"/>
    </row>
    <row r="101" spans="1:7" x14ac:dyDescent="0.35">
      <c r="A101" s="9"/>
      <c r="B101" s="9"/>
      <c r="C101" s="9" t="s">
        <v>112</v>
      </c>
      <c r="D101" s="8"/>
      <c r="E101" s="10" t="s">
        <v>117</v>
      </c>
      <c r="F101" s="9"/>
      <c r="G101" s="9"/>
    </row>
    <row r="102" spans="1:7" x14ac:dyDescent="0.35">
      <c r="A102" s="9"/>
      <c r="B102" s="9"/>
      <c r="C102" s="9" t="s">
        <v>114</v>
      </c>
      <c r="D102" s="10" t="s">
        <v>111</v>
      </c>
      <c r="E102" s="8"/>
      <c r="F102" s="9"/>
      <c r="G102" s="9"/>
    </row>
    <row r="103" spans="1:7" x14ac:dyDescent="0.35">
      <c r="A103" s="9"/>
      <c r="B103" s="9"/>
      <c r="C103" s="9" t="s">
        <v>118</v>
      </c>
      <c r="D103" s="10" t="s">
        <v>111</v>
      </c>
      <c r="E103" s="8"/>
      <c r="F103" s="9"/>
      <c r="G103" s="9"/>
    </row>
    <row r="104" spans="1:7" x14ac:dyDescent="0.35">
      <c r="A104" s="9"/>
      <c r="B104" s="9"/>
      <c r="C104" s="9"/>
      <c r="D104" s="8"/>
      <c r="E104" s="8"/>
      <c r="F104" s="9"/>
      <c r="G104" s="9"/>
    </row>
    <row r="105" spans="1:7" x14ac:dyDescent="0.35">
      <c r="A105" s="9" t="s">
        <v>146</v>
      </c>
      <c r="B105" s="9" t="s">
        <v>81</v>
      </c>
      <c r="C105" s="9" t="s">
        <v>110</v>
      </c>
      <c r="D105" s="10" t="s">
        <v>111</v>
      </c>
      <c r="E105" s="8"/>
      <c r="F105" s="9"/>
      <c r="G105" s="9"/>
    </row>
    <row r="106" spans="1:7" x14ac:dyDescent="0.35">
      <c r="A106" s="9"/>
      <c r="B106" s="9"/>
      <c r="C106" s="9" t="s">
        <v>112</v>
      </c>
      <c r="D106" s="10" t="s">
        <v>111</v>
      </c>
      <c r="E106" s="8"/>
      <c r="F106" s="9"/>
      <c r="G106" s="9"/>
    </row>
    <row r="107" spans="1:7" x14ac:dyDescent="0.35">
      <c r="A107" s="9"/>
      <c r="B107" s="9"/>
      <c r="C107" s="9" t="s">
        <v>147</v>
      </c>
      <c r="D107" s="8"/>
      <c r="E107" s="10" t="s">
        <v>117</v>
      </c>
      <c r="F107" s="9"/>
      <c r="G107" s="9"/>
    </row>
    <row r="108" spans="1:7" x14ac:dyDescent="0.35">
      <c r="A108" s="9"/>
      <c r="B108" s="9"/>
      <c r="C108" s="9" t="s">
        <v>118</v>
      </c>
      <c r="D108" s="10" t="s">
        <v>111</v>
      </c>
      <c r="E108" s="8"/>
      <c r="F108" s="9"/>
      <c r="G108" s="9"/>
    </row>
    <row r="109" spans="1:7" x14ac:dyDescent="0.35">
      <c r="A109" s="9"/>
      <c r="B109" s="9"/>
      <c r="C109" s="9"/>
      <c r="D109" s="8"/>
      <c r="E109" s="8"/>
      <c r="F109" s="9"/>
      <c r="G109" s="9"/>
    </row>
    <row r="110" spans="1:7" x14ac:dyDescent="0.35">
      <c r="A110" s="9" t="s">
        <v>148</v>
      </c>
      <c r="B110" s="9" t="s">
        <v>82</v>
      </c>
      <c r="C110" s="9" t="s">
        <v>110</v>
      </c>
      <c r="D110" s="10" t="s">
        <v>111</v>
      </c>
      <c r="E110" s="8"/>
      <c r="F110" s="9"/>
      <c r="G110" s="9"/>
    </row>
    <row r="111" spans="1:7" x14ac:dyDescent="0.35">
      <c r="A111" s="9"/>
      <c r="B111" s="9"/>
      <c r="C111" s="9" t="s">
        <v>112</v>
      </c>
      <c r="D111" s="10" t="s">
        <v>111</v>
      </c>
      <c r="E111" s="8"/>
      <c r="F111" s="9"/>
      <c r="G111" s="9"/>
    </row>
    <row r="112" spans="1:7" x14ac:dyDescent="0.35">
      <c r="A112" s="9"/>
      <c r="B112" s="9"/>
      <c r="C112" s="9" t="s">
        <v>114</v>
      </c>
      <c r="D112" s="8"/>
      <c r="E112" s="10" t="s">
        <v>117</v>
      </c>
      <c r="F112" s="9"/>
      <c r="G112" s="9"/>
    </row>
    <row r="113" spans="1:7" x14ac:dyDescent="0.35">
      <c r="A113" s="9"/>
      <c r="B113" s="9"/>
      <c r="C113" s="9" t="s">
        <v>118</v>
      </c>
      <c r="D113" s="10" t="s">
        <v>111</v>
      </c>
      <c r="E113" s="8"/>
      <c r="F113" s="9"/>
      <c r="G113" s="9"/>
    </row>
    <row r="114" spans="1:7" x14ac:dyDescent="0.35">
      <c r="A114" s="9"/>
      <c r="B114" s="9"/>
      <c r="C114" s="9"/>
      <c r="D114" s="9"/>
      <c r="E114" s="9"/>
      <c r="F114" s="9"/>
      <c r="G114" s="9"/>
    </row>
    <row r="115" spans="1:7" x14ac:dyDescent="0.35">
      <c r="A115" s="9" t="s">
        <v>149</v>
      </c>
      <c r="B115" s="9" t="s">
        <v>83</v>
      </c>
      <c r="C115" s="9" t="s">
        <v>110</v>
      </c>
      <c r="D115" s="8"/>
      <c r="E115" s="10" t="s">
        <v>117</v>
      </c>
      <c r="F115" s="9"/>
      <c r="G115" s="9"/>
    </row>
    <row r="116" spans="1:7" x14ac:dyDescent="0.35">
      <c r="A116" s="9"/>
      <c r="B116" s="9"/>
      <c r="C116" s="9" t="s">
        <v>112</v>
      </c>
      <c r="D116" s="8"/>
      <c r="E116" s="10" t="s">
        <v>117</v>
      </c>
      <c r="F116" s="9"/>
      <c r="G116" s="9"/>
    </row>
    <row r="117" spans="1:7" x14ac:dyDescent="0.35">
      <c r="A117" s="9"/>
      <c r="B117" s="9"/>
      <c r="C117" s="9" t="s">
        <v>114</v>
      </c>
      <c r="D117" s="10" t="s">
        <v>111</v>
      </c>
      <c r="E117" s="8"/>
      <c r="F117" s="9"/>
      <c r="G117" s="9"/>
    </row>
    <row r="118" spans="1:7" x14ac:dyDescent="0.35">
      <c r="A118" s="9"/>
      <c r="B118" s="9"/>
      <c r="C118" s="9" t="s">
        <v>118</v>
      </c>
      <c r="D118" s="10" t="s">
        <v>111</v>
      </c>
      <c r="E118" s="8"/>
      <c r="F118" s="9"/>
      <c r="G118" s="9"/>
    </row>
    <row r="119" spans="1:7" x14ac:dyDescent="0.35">
      <c r="A119" s="9"/>
      <c r="B119" s="9"/>
      <c r="C119" s="9"/>
      <c r="D119" s="9"/>
      <c r="E119" s="9"/>
      <c r="F119" s="9"/>
      <c r="G119" s="9"/>
    </row>
    <row r="120" spans="1:7" x14ac:dyDescent="0.35">
      <c r="A120" s="9" t="s">
        <v>150</v>
      </c>
      <c r="B120" s="9" t="s">
        <v>84</v>
      </c>
      <c r="C120" s="9" t="s">
        <v>110</v>
      </c>
      <c r="D120" s="10" t="s">
        <v>111</v>
      </c>
      <c r="E120" s="8"/>
      <c r="F120" s="9"/>
      <c r="G120" s="9"/>
    </row>
    <row r="121" spans="1:7" x14ac:dyDescent="0.35">
      <c r="A121" s="9"/>
      <c r="B121" s="9"/>
      <c r="C121" s="9" t="s">
        <v>112</v>
      </c>
      <c r="D121" s="10" t="s">
        <v>111</v>
      </c>
      <c r="E121" s="8"/>
      <c r="F121" s="9"/>
      <c r="G121" s="9"/>
    </row>
    <row r="122" spans="1:7" x14ac:dyDescent="0.35">
      <c r="A122" s="9"/>
      <c r="B122" s="9"/>
      <c r="C122" s="9" t="s">
        <v>114</v>
      </c>
      <c r="D122" s="10" t="s">
        <v>111</v>
      </c>
      <c r="E122" s="8"/>
      <c r="F122" s="9"/>
      <c r="G122" s="9"/>
    </row>
    <row r="123" spans="1:7" x14ac:dyDescent="0.35">
      <c r="A123" s="9"/>
      <c r="B123" s="9"/>
      <c r="C123" s="9" t="s">
        <v>118</v>
      </c>
      <c r="D123" s="10" t="s">
        <v>111</v>
      </c>
      <c r="E123" s="8"/>
      <c r="F123" s="9"/>
      <c r="G123" s="9"/>
    </row>
    <row r="124" spans="1:7" x14ac:dyDescent="0.35">
      <c r="A124" s="9"/>
      <c r="B124" s="9"/>
      <c r="C124" s="9"/>
      <c r="D124" s="8"/>
      <c r="E124" s="8"/>
      <c r="F124" s="9"/>
      <c r="G124" s="9"/>
    </row>
    <row r="125" spans="1:7" x14ac:dyDescent="0.35">
      <c r="A125" s="9" t="s">
        <v>151</v>
      </c>
      <c r="B125" s="9" t="s">
        <v>85</v>
      </c>
      <c r="C125" s="9" t="s">
        <v>110</v>
      </c>
      <c r="D125" s="10" t="s">
        <v>111</v>
      </c>
      <c r="E125" s="8"/>
      <c r="F125" s="9"/>
      <c r="G125" s="9"/>
    </row>
    <row r="126" spans="1:7" x14ac:dyDescent="0.35">
      <c r="A126" s="9"/>
      <c r="B126" s="9"/>
      <c r="C126" s="9" t="s">
        <v>112</v>
      </c>
      <c r="D126" s="8"/>
      <c r="E126" s="10" t="s">
        <v>117</v>
      </c>
      <c r="F126" s="9"/>
      <c r="G126" s="9"/>
    </row>
    <row r="127" spans="1:7" x14ac:dyDescent="0.35">
      <c r="A127" s="9"/>
      <c r="B127" s="9"/>
      <c r="C127" s="9" t="s">
        <v>114</v>
      </c>
      <c r="D127" s="10" t="s">
        <v>111</v>
      </c>
      <c r="E127" s="8"/>
      <c r="F127" s="9"/>
      <c r="G127" s="9"/>
    </row>
    <row r="128" spans="1:7" x14ac:dyDescent="0.35">
      <c r="A128" s="9"/>
      <c r="B128" s="9"/>
      <c r="C128" s="9" t="s">
        <v>118</v>
      </c>
      <c r="D128" s="10" t="s">
        <v>111</v>
      </c>
      <c r="E128" s="8"/>
      <c r="F128" s="9"/>
      <c r="G128" s="9"/>
    </row>
    <row r="129" spans="1:7" x14ac:dyDescent="0.35">
      <c r="A129" s="9"/>
      <c r="B129" s="9"/>
      <c r="C129" s="9"/>
      <c r="D129" s="8"/>
      <c r="E129" s="8"/>
      <c r="F129" s="9"/>
      <c r="G129" s="9"/>
    </row>
    <row r="130" spans="1:7" x14ac:dyDescent="0.35">
      <c r="A130" s="9" t="s">
        <v>152</v>
      </c>
      <c r="B130" s="9" t="s">
        <v>86</v>
      </c>
      <c r="C130" s="9" t="s">
        <v>110</v>
      </c>
      <c r="D130" s="8"/>
      <c r="E130" s="10" t="s">
        <v>117</v>
      </c>
      <c r="F130" s="9"/>
      <c r="G130" s="9"/>
    </row>
    <row r="131" spans="1:7" x14ac:dyDescent="0.35">
      <c r="A131" s="9"/>
      <c r="B131" s="9"/>
      <c r="C131" s="9" t="s">
        <v>112</v>
      </c>
      <c r="D131" s="8"/>
      <c r="E131" s="10" t="s">
        <v>117</v>
      </c>
      <c r="F131" s="9"/>
      <c r="G131" s="9"/>
    </row>
    <row r="132" spans="1:7" x14ac:dyDescent="0.35">
      <c r="A132" s="9"/>
      <c r="B132" s="9"/>
      <c r="C132" s="9" t="s">
        <v>114</v>
      </c>
      <c r="D132" s="10" t="s">
        <v>111</v>
      </c>
      <c r="E132" s="8"/>
      <c r="F132" s="9"/>
      <c r="G132" s="9"/>
    </row>
    <row r="133" spans="1:7" x14ac:dyDescent="0.35">
      <c r="A133" s="9"/>
      <c r="B133" s="9"/>
      <c r="C133" s="9" t="s">
        <v>118</v>
      </c>
      <c r="D133" s="10" t="s">
        <v>111</v>
      </c>
      <c r="E133" s="8"/>
      <c r="F133" s="9"/>
      <c r="G133" s="9"/>
    </row>
    <row r="134" spans="1:7" x14ac:dyDescent="0.35">
      <c r="A134" s="9"/>
      <c r="B134" s="9"/>
      <c r="C134" s="9"/>
      <c r="D134" s="8"/>
      <c r="E134" s="8"/>
      <c r="F134" s="9"/>
      <c r="G134" s="9"/>
    </row>
    <row r="135" spans="1:7" x14ac:dyDescent="0.35">
      <c r="A135" s="9" t="s">
        <v>153</v>
      </c>
      <c r="B135" s="9" t="s">
        <v>87</v>
      </c>
      <c r="C135" s="9" t="s">
        <v>110</v>
      </c>
      <c r="D135" s="10" t="s">
        <v>111</v>
      </c>
      <c r="E135" s="8"/>
      <c r="F135" s="9"/>
      <c r="G135" s="9"/>
    </row>
    <row r="136" spans="1:7" x14ac:dyDescent="0.35">
      <c r="A136" s="9"/>
      <c r="B136" s="9"/>
      <c r="C136" s="9" t="s">
        <v>112</v>
      </c>
      <c r="D136" s="8"/>
      <c r="E136" s="10" t="s">
        <v>117</v>
      </c>
      <c r="F136" s="9"/>
      <c r="G136" s="9"/>
    </row>
    <row r="137" spans="1:7" x14ac:dyDescent="0.35">
      <c r="A137" s="9"/>
      <c r="B137" s="9"/>
      <c r="C137" s="9" t="s">
        <v>114</v>
      </c>
      <c r="D137" s="10" t="s">
        <v>111</v>
      </c>
      <c r="E137" s="8"/>
      <c r="F137" s="9"/>
      <c r="G137" s="9"/>
    </row>
    <row r="138" spans="1:7" x14ac:dyDescent="0.35">
      <c r="A138" s="9"/>
      <c r="B138" s="9"/>
      <c r="C138" s="9" t="s">
        <v>118</v>
      </c>
      <c r="D138" s="10" t="s">
        <v>111</v>
      </c>
      <c r="E138" s="8"/>
      <c r="F138" s="9"/>
      <c r="G138" s="9"/>
    </row>
    <row r="139" spans="1:7" x14ac:dyDescent="0.35">
      <c r="A139" s="9"/>
      <c r="B139" s="9"/>
      <c r="C139" s="9"/>
      <c r="D139" s="8"/>
      <c r="E139" s="8"/>
      <c r="F139" s="9"/>
      <c r="G139" s="9"/>
    </row>
    <row r="140" spans="1:7" x14ac:dyDescent="0.35">
      <c r="A140" s="9" t="s">
        <v>154</v>
      </c>
      <c r="B140" s="9" t="s">
        <v>88</v>
      </c>
      <c r="C140" s="9" t="s">
        <v>110</v>
      </c>
      <c r="D140" s="10" t="s">
        <v>111</v>
      </c>
      <c r="E140" s="8"/>
      <c r="F140" s="9"/>
      <c r="G140" s="9"/>
    </row>
    <row r="141" spans="1:7" x14ac:dyDescent="0.35">
      <c r="A141" s="9"/>
      <c r="B141" s="9"/>
      <c r="C141" s="9" t="s">
        <v>112</v>
      </c>
      <c r="D141" s="10" t="s">
        <v>111</v>
      </c>
      <c r="E141" s="8"/>
      <c r="F141" s="9"/>
      <c r="G141" s="9"/>
    </row>
    <row r="142" spans="1:7" x14ac:dyDescent="0.35">
      <c r="A142" s="9"/>
      <c r="B142" s="9"/>
      <c r="C142" s="9" t="s">
        <v>114</v>
      </c>
      <c r="D142" s="10" t="s">
        <v>111</v>
      </c>
      <c r="E142" s="8"/>
      <c r="F142" s="9"/>
      <c r="G142" s="9"/>
    </row>
    <row r="143" spans="1:7" x14ac:dyDescent="0.35">
      <c r="A143" s="9"/>
      <c r="B143" s="9"/>
      <c r="C143" s="9" t="s">
        <v>118</v>
      </c>
      <c r="D143" s="10" t="s">
        <v>111</v>
      </c>
      <c r="E143" s="8"/>
      <c r="F143" s="9"/>
      <c r="G143" s="9"/>
    </row>
    <row r="144" spans="1:7" x14ac:dyDescent="0.35">
      <c r="A144" s="9"/>
      <c r="B144" s="9"/>
      <c r="C144" s="9"/>
      <c r="D144" s="8"/>
      <c r="E144" s="8"/>
      <c r="F144" s="9"/>
      <c r="G144" s="9"/>
    </row>
    <row r="145" spans="1:7" x14ac:dyDescent="0.35">
      <c r="A145" s="9" t="s">
        <v>155</v>
      </c>
      <c r="B145" s="9" t="s">
        <v>89</v>
      </c>
      <c r="C145" s="9" t="s">
        <v>110</v>
      </c>
      <c r="D145" s="10" t="s">
        <v>111</v>
      </c>
      <c r="E145" s="8"/>
      <c r="F145" s="9"/>
      <c r="G145" s="9"/>
    </row>
    <row r="146" spans="1:7" x14ac:dyDescent="0.35">
      <c r="A146" s="9"/>
      <c r="B146" s="9"/>
      <c r="C146" s="9" t="s">
        <v>112</v>
      </c>
      <c r="D146" s="10" t="s">
        <v>111</v>
      </c>
      <c r="E146" s="8"/>
      <c r="F146" s="9"/>
      <c r="G146" s="9"/>
    </row>
    <row r="147" spans="1:7" x14ac:dyDescent="0.35">
      <c r="A147" s="9"/>
      <c r="B147" s="9"/>
      <c r="C147" s="9" t="s">
        <v>114</v>
      </c>
      <c r="D147" s="10" t="s">
        <v>111</v>
      </c>
      <c r="E147" s="8"/>
      <c r="F147" s="9"/>
      <c r="G147" s="9"/>
    </row>
    <row r="148" spans="1:7" x14ac:dyDescent="0.35">
      <c r="A148" s="9"/>
      <c r="B148" s="9"/>
      <c r="C148" s="9" t="s">
        <v>118</v>
      </c>
      <c r="D148" s="10" t="s">
        <v>111</v>
      </c>
      <c r="E148" s="8"/>
      <c r="F148" s="9"/>
      <c r="G148" s="9"/>
    </row>
    <row r="149" spans="1:7" x14ac:dyDescent="0.35">
      <c r="A149" s="9"/>
      <c r="B149" s="9"/>
      <c r="C149" s="9"/>
      <c r="D149" s="8"/>
      <c r="E149" s="8"/>
      <c r="F149" s="9"/>
      <c r="G149" s="9"/>
    </row>
    <row r="150" spans="1:7" x14ac:dyDescent="0.35">
      <c r="A150" s="9" t="s">
        <v>156</v>
      </c>
      <c r="B150" s="9" t="s">
        <v>90</v>
      </c>
      <c r="C150" s="9" t="s">
        <v>110</v>
      </c>
      <c r="D150" s="10" t="s">
        <v>111</v>
      </c>
      <c r="E150" s="8"/>
      <c r="F150" s="9"/>
      <c r="G150" s="9"/>
    </row>
    <row r="151" spans="1:7" x14ac:dyDescent="0.35">
      <c r="A151" s="9"/>
      <c r="B151" s="9"/>
      <c r="C151" s="9" t="s">
        <v>112</v>
      </c>
      <c r="D151" s="10" t="s">
        <v>111</v>
      </c>
      <c r="E151" s="8"/>
      <c r="F151" s="9"/>
      <c r="G151" s="9"/>
    </row>
    <row r="152" spans="1:7" x14ac:dyDescent="0.35">
      <c r="A152" s="9"/>
      <c r="B152" s="9"/>
      <c r="C152" s="9" t="s">
        <v>114</v>
      </c>
      <c r="D152" s="8"/>
      <c r="E152" s="10" t="s">
        <v>117</v>
      </c>
      <c r="F152" s="9"/>
      <c r="G152" s="9"/>
    </row>
    <row r="153" spans="1:7" x14ac:dyDescent="0.35">
      <c r="A153" s="9"/>
      <c r="B153" s="9"/>
      <c r="C153" s="9" t="s">
        <v>118</v>
      </c>
      <c r="D153" s="10" t="s">
        <v>111</v>
      </c>
      <c r="E153" s="8"/>
      <c r="F153" s="9"/>
      <c r="G153" s="9"/>
    </row>
    <row r="154" spans="1:7" x14ac:dyDescent="0.35">
      <c r="A154" s="9"/>
      <c r="B154" s="9"/>
      <c r="C154" s="9"/>
      <c r="D154" s="8"/>
      <c r="E154" s="8"/>
      <c r="F154" s="9"/>
      <c r="G154" s="9"/>
    </row>
    <row r="155" spans="1:7" x14ac:dyDescent="0.35">
      <c r="A155" s="9" t="s">
        <v>157</v>
      </c>
      <c r="B155" s="9" t="s">
        <v>91</v>
      </c>
      <c r="C155" s="9" t="s">
        <v>110</v>
      </c>
      <c r="D155" s="10" t="s">
        <v>111</v>
      </c>
      <c r="E155" s="8"/>
      <c r="F155" s="9"/>
      <c r="G155" s="9"/>
    </row>
    <row r="156" spans="1:7" x14ac:dyDescent="0.35">
      <c r="A156" s="9"/>
      <c r="B156" s="9"/>
      <c r="C156" s="9" t="s">
        <v>112</v>
      </c>
      <c r="D156" s="8"/>
      <c r="E156" s="10" t="s">
        <v>117</v>
      </c>
      <c r="F156" s="9"/>
      <c r="G156" s="9"/>
    </row>
    <row r="157" spans="1:7" x14ac:dyDescent="0.35">
      <c r="A157" s="9"/>
      <c r="B157" s="9"/>
      <c r="C157" s="9" t="s">
        <v>114</v>
      </c>
      <c r="D157" s="10" t="s">
        <v>111</v>
      </c>
      <c r="E157" s="8"/>
      <c r="F157" s="9"/>
      <c r="G157" s="9"/>
    </row>
    <row r="158" spans="1:7" x14ac:dyDescent="0.35">
      <c r="A158" s="9"/>
      <c r="B158" s="9"/>
      <c r="C158" s="9" t="s">
        <v>118</v>
      </c>
      <c r="D158" s="10" t="s">
        <v>111</v>
      </c>
      <c r="E158" s="8"/>
      <c r="F158" s="9"/>
      <c r="G158" s="9"/>
    </row>
    <row r="159" spans="1:7" x14ac:dyDescent="0.35">
      <c r="A159" s="9"/>
      <c r="B159" s="9"/>
      <c r="C159" s="9"/>
      <c r="D159" s="8"/>
      <c r="E159" s="8"/>
      <c r="F159" s="9"/>
      <c r="G159" s="9"/>
    </row>
    <row r="160" spans="1:7" x14ac:dyDescent="0.35">
      <c r="A160" s="9" t="s">
        <v>158</v>
      </c>
      <c r="B160" s="9" t="s">
        <v>92</v>
      </c>
      <c r="C160" s="9" t="s">
        <v>110</v>
      </c>
      <c r="D160" s="10" t="s">
        <v>111</v>
      </c>
      <c r="E160" s="8"/>
      <c r="F160" s="9"/>
      <c r="G160" s="9"/>
    </row>
    <row r="161" spans="1:7" x14ac:dyDescent="0.35">
      <c r="A161" s="9"/>
      <c r="B161" s="9"/>
      <c r="C161" s="9" t="s">
        <v>112</v>
      </c>
      <c r="D161" s="10" t="s">
        <v>111</v>
      </c>
      <c r="E161" s="8"/>
      <c r="F161" s="9"/>
      <c r="G161" s="9"/>
    </row>
    <row r="162" spans="1:7" x14ac:dyDescent="0.35">
      <c r="A162" s="9"/>
      <c r="B162" s="9"/>
      <c r="C162" s="9" t="s">
        <v>114</v>
      </c>
      <c r="D162" s="10" t="s">
        <v>111</v>
      </c>
      <c r="E162" s="8"/>
      <c r="F162" s="9"/>
      <c r="G162" s="9"/>
    </row>
    <row r="163" spans="1:7" x14ac:dyDescent="0.35">
      <c r="A163" s="9"/>
      <c r="B163" s="9"/>
      <c r="C163" s="9" t="s">
        <v>118</v>
      </c>
      <c r="D163" s="10" t="s">
        <v>111</v>
      </c>
      <c r="E163" s="8"/>
      <c r="F163" s="9"/>
      <c r="G163" s="9"/>
    </row>
    <row r="164" spans="1:7" x14ac:dyDescent="0.35">
      <c r="A164" s="9"/>
      <c r="B164" s="9"/>
      <c r="C164" s="9"/>
      <c r="D164" s="8"/>
      <c r="E164" s="8"/>
      <c r="F164" s="9"/>
      <c r="G164" s="9"/>
    </row>
    <row r="165" spans="1:7" x14ac:dyDescent="0.35">
      <c r="A165" s="9" t="s">
        <v>159</v>
      </c>
      <c r="B165" s="9" t="s">
        <v>93</v>
      </c>
      <c r="C165" s="9" t="s">
        <v>161</v>
      </c>
      <c r="D165" s="10" t="s">
        <v>111</v>
      </c>
      <c r="E165" s="8"/>
      <c r="F165" s="9"/>
      <c r="G165" s="9"/>
    </row>
    <row r="166" spans="1:7" x14ac:dyDescent="0.35">
      <c r="A166" s="9"/>
      <c r="B166" s="9"/>
      <c r="C166" s="9" t="s">
        <v>112</v>
      </c>
      <c r="D166" s="10" t="s">
        <v>111</v>
      </c>
      <c r="E166" s="8"/>
      <c r="F166" s="9"/>
      <c r="G166" s="9"/>
    </row>
    <row r="167" spans="1:7" x14ac:dyDescent="0.35">
      <c r="A167" s="9"/>
      <c r="B167" s="9"/>
      <c r="C167" s="9" t="s">
        <v>114</v>
      </c>
      <c r="D167" s="10" t="s">
        <v>111</v>
      </c>
      <c r="E167" s="8"/>
      <c r="F167" s="9"/>
      <c r="G167" s="9"/>
    </row>
    <row r="168" spans="1:7" x14ac:dyDescent="0.35">
      <c r="A168" s="9"/>
      <c r="B168" s="9"/>
      <c r="C168" s="9" t="s">
        <v>118</v>
      </c>
      <c r="D168" s="10" t="s">
        <v>111</v>
      </c>
      <c r="E168" s="8"/>
      <c r="F168" s="9"/>
      <c r="G168" s="9"/>
    </row>
    <row r="169" spans="1:7" x14ac:dyDescent="0.35">
      <c r="A169" s="9"/>
      <c r="B169" s="9"/>
      <c r="C169" s="9"/>
      <c r="D169" s="8"/>
      <c r="E169" s="8"/>
      <c r="F169" s="9"/>
      <c r="G169" s="9"/>
    </row>
    <row r="170" spans="1:7" x14ac:dyDescent="0.35">
      <c r="A170" s="9" t="s">
        <v>162</v>
      </c>
      <c r="B170" s="9" t="s">
        <v>94</v>
      </c>
      <c r="C170" s="9" t="s">
        <v>110</v>
      </c>
      <c r="D170" s="8"/>
      <c r="E170" s="10" t="s">
        <v>117</v>
      </c>
      <c r="F170" s="9"/>
      <c r="G170" s="9"/>
    </row>
    <row r="171" spans="1:7" x14ac:dyDescent="0.35">
      <c r="A171" s="9"/>
      <c r="B171" s="9"/>
      <c r="C171" s="9" t="s">
        <v>112</v>
      </c>
      <c r="D171" s="10" t="s">
        <v>111</v>
      </c>
      <c r="E171" s="8"/>
      <c r="F171" s="9"/>
      <c r="G171" s="9"/>
    </row>
    <row r="172" spans="1:7" x14ac:dyDescent="0.35">
      <c r="A172" s="9"/>
      <c r="B172" s="9"/>
      <c r="C172" s="9" t="s">
        <v>114</v>
      </c>
      <c r="D172" s="10" t="s">
        <v>111</v>
      </c>
      <c r="E172" s="8"/>
      <c r="F172" s="9"/>
      <c r="G172" s="9"/>
    </row>
    <row r="173" spans="1:7" x14ac:dyDescent="0.35">
      <c r="A173" s="9"/>
      <c r="B173" s="9"/>
      <c r="C173" s="9" t="s">
        <v>118</v>
      </c>
      <c r="D173" s="8"/>
      <c r="E173" s="10" t="s">
        <v>117</v>
      </c>
      <c r="F173" s="9"/>
      <c r="G173" s="9"/>
    </row>
    <row r="174" spans="1:7" x14ac:dyDescent="0.35">
      <c r="A174" s="9"/>
      <c r="B174" s="9"/>
      <c r="C174" s="9"/>
      <c r="D174" s="8"/>
      <c r="E174" s="8"/>
      <c r="F174" s="9"/>
      <c r="G174" s="9"/>
    </row>
    <row r="175" spans="1:7" x14ac:dyDescent="0.35">
      <c r="A175" s="9" t="s">
        <v>163</v>
      </c>
      <c r="B175" s="9" t="s">
        <v>95</v>
      </c>
      <c r="C175" s="9" t="s">
        <v>110</v>
      </c>
      <c r="D175" s="10" t="s">
        <v>111</v>
      </c>
      <c r="E175" s="8"/>
      <c r="F175" s="9"/>
      <c r="G175" s="9"/>
    </row>
    <row r="176" spans="1:7" x14ac:dyDescent="0.35">
      <c r="A176" s="9"/>
      <c r="B176" s="9"/>
      <c r="C176" s="9" t="s">
        <v>112</v>
      </c>
      <c r="D176" s="10" t="s">
        <v>111</v>
      </c>
      <c r="E176" s="8"/>
      <c r="F176" s="9"/>
      <c r="G176" s="9"/>
    </row>
    <row r="177" spans="1:7" x14ac:dyDescent="0.35">
      <c r="A177" s="9"/>
      <c r="B177" s="9"/>
      <c r="C177" s="9" t="s">
        <v>114</v>
      </c>
      <c r="D177" s="10" t="s">
        <v>111</v>
      </c>
      <c r="E177" s="8"/>
      <c r="F177" s="9"/>
      <c r="G177" s="9"/>
    </row>
    <row r="178" spans="1:7" x14ac:dyDescent="0.35">
      <c r="A178" s="9"/>
      <c r="B178" s="9"/>
      <c r="C178" s="9" t="s">
        <v>118</v>
      </c>
      <c r="D178" s="10" t="s">
        <v>111</v>
      </c>
      <c r="E178" s="8"/>
      <c r="F178" s="9"/>
      <c r="G178" s="9"/>
    </row>
    <row r="179" spans="1:7" x14ac:dyDescent="0.35">
      <c r="A179" s="9"/>
      <c r="B179" s="9"/>
      <c r="C179" s="9"/>
      <c r="D179" s="8"/>
      <c r="E179" s="8"/>
      <c r="F179" s="9"/>
      <c r="G179" s="9"/>
    </row>
    <row r="180" spans="1:7" x14ac:dyDescent="0.35">
      <c r="A180" s="9" t="s">
        <v>165</v>
      </c>
      <c r="B180" s="9" t="s">
        <v>96</v>
      </c>
      <c r="C180" s="9" t="s">
        <v>110</v>
      </c>
      <c r="D180" s="10" t="s">
        <v>111</v>
      </c>
      <c r="E180" s="8"/>
      <c r="F180" s="9"/>
      <c r="G180" s="9"/>
    </row>
    <row r="181" spans="1:7" x14ac:dyDescent="0.35">
      <c r="A181" s="9"/>
      <c r="B181" s="9"/>
      <c r="C181" s="9" t="s">
        <v>112</v>
      </c>
      <c r="D181" s="10" t="s">
        <v>111</v>
      </c>
      <c r="E181" s="8"/>
      <c r="F181" s="9"/>
      <c r="G181" s="9"/>
    </row>
    <row r="182" spans="1:7" x14ac:dyDescent="0.35">
      <c r="A182" s="9"/>
      <c r="B182" s="9"/>
      <c r="C182" s="9" t="s">
        <v>114</v>
      </c>
      <c r="D182" s="8"/>
      <c r="E182" s="10" t="s">
        <v>117</v>
      </c>
      <c r="F182" s="9"/>
      <c r="G182" s="9"/>
    </row>
    <row r="183" spans="1:7" x14ac:dyDescent="0.35">
      <c r="A183" s="9"/>
      <c r="B183" s="9"/>
      <c r="C183" s="9" t="s">
        <v>118</v>
      </c>
      <c r="D183" s="10" t="s">
        <v>111</v>
      </c>
      <c r="E183" s="8"/>
      <c r="F183" s="9"/>
      <c r="G183" s="9"/>
    </row>
    <row r="184" spans="1:7" x14ac:dyDescent="0.35">
      <c r="A184" s="9"/>
      <c r="B184" s="9"/>
      <c r="C184" s="9"/>
      <c r="D184" s="8"/>
      <c r="E184" s="8"/>
      <c r="F184" s="9"/>
      <c r="G184" s="9"/>
    </row>
    <row r="185" spans="1:7" x14ac:dyDescent="0.35">
      <c r="A185" s="9" t="s">
        <v>166</v>
      </c>
      <c r="B185" s="9" t="s">
        <v>98</v>
      </c>
      <c r="C185" s="9" t="s">
        <v>110</v>
      </c>
      <c r="D185" s="10" t="s">
        <v>111</v>
      </c>
      <c r="E185" s="8"/>
      <c r="F185" s="9"/>
      <c r="G185" s="9"/>
    </row>
    <row r="186" spans="1:7" x14ac:dyDescent="0.35">
      <c r="A186" s="9"/>
      <c r="B186" s="9"/>
      <c r="C186" s="9" t="s">
        <v>112</v>
      </c>
      <c r="D186" s="8"/>
      <c r="E186" s="10" t="s">
        <v>117</v>
      </c>
      <c r="F186" s="9"/>
      <c r="G186" s="9"/>
    </row>
    <row r="187" spans="1:7" x14ac:dyDescent="0.35">
      <c r="A187" s="9"/>
      <c r="B187" s="9"/>
      <c r="C187" s="9" t="s">
        <v>114</v>
      </c>
      <c r="D187" s="10" t="s">
        <v>111</v>
      </c>
      <c r="E187" s="8"/>
      <c r="F187" s="9"/>
      <c r="G187" s="9"/>
    </row>
    <row r="188" spans="1:7" x14ac:dyDescent="0.35">
      <c r="A188" s="9"/>
      <c r="B188" s="9"/>
      <c r="C188" s="9" t="s">
        <v>118</v>
      </c>
      <c r="D188" s="10" t="s">
        <v>111</v>
      </c>
      <c r="E188" s="8"/>
      <c r="F188" s="9"/>
      <c r="G188" s="9"/>
    </row>
    <row r="189" spans="1:7" x14ac:dyDescent="0.35">
      <c r="A189" s="9"/>
      <c r="B189" s="9"/>
      <c r="C189" s="9"/>
      <c r="D189" s="8"/>
      <c r="E189" s="8"/>
      <c r="F189" s="9"/>
      <c r="G189" s="9"/>
    </row>
    <row r="190" spans="1:7" x14ac:dyDescent="0.35">
      <c r="A190" s="9" t="s">
        <v>168</v>
      </c>
      <c r="B190" s="9" t="s">
        <v>97</v>
      </c>
      <c r="C190" s="9" t="s">
        <v>110</v>
      </c>
      <c r="D190" s="10" t="s">
        <v>111</v>
      </c>
      <c r="E190" s="8"/>
      <c r="F190" s="9"/>
      <c r="G190" s="9"/>
    </row>
    <row r="191" spans="1:7" x14ac:dyDescent="0.35">
      <c r="A191" s="9"/>
      <c r="B191" s="9"/>
      <c r="C191" s="9" t="s">
        <v>112</v>
      </c>
      <c r="D191" s="10" t="s">
        <v>111</v>
      </c>
      <c r="E191" s="8"/>
      <c r="F191" s="9"/>
      <c r="G191" s="9"/>
    </row>
    <row r="192" spans="1:7" x14ac:dyDescent="0.35">
      <c r="A192" s="9"/>
      <c r="B192" s="9"/>
      <c r="C192" s="9" t="s">
        <v>114</v>
      </c>
      <c r="D192" s="8"/>
      <c r="E192" s="10" t="s">
        <v>117</v>
      </c>
      <c r="F192" s="9"/>
      <c r="G192" s="9"/>
    </row>
    <row r="193" spans="1:7" x14ac:dyDescent="0.35">
      <c r="A193" s="9"/>
      <c r="B193" s="9"/>
      <c r="C193" s="9" t="s">
        <v>118</v>
      </c>
      <c r="D193" s="10" t="s">
        <v>111</v>
      </c>
      <c r="E193" s="8"/>
      <c r="F193" s="9"/>
      <c r="G193" s="9"/>
    </row>
    <row r="194" spans="1:7" x14ac:dyDescent="0.35">
      <c r="A194" s="9"/>
      <c r="B194" s="9"/>
      <c r="C194" s="9"/>
      <c r="D194" s="8"/>
      <c r="E194" s="8"/>
      <c r="F194" s="9"/>
      <c r="G194" s="9"/>
    </row>
    <row r="195" spans="1:7" x14ac:dyDescent="0.35">
      <c r="A195" s="9" t="s">
        <v>169</v>
      </c>
      <c r="B195" s="9" t="s">
        <v>99</v>
      </c>
      <c r="C195" s="9" t="s">
        <v>110</v>
      </c>
      <c r="D195" s="10" t="s">
        <v>111</v>
      </c>
      <c r="E195" s="8"/>
      <c r="F195" s="9"/>
      <c r="G195" s="9"/>
    </row>
    <row r="196" spans="1:7" x14ac:dyDescent="0.35">
      <c r="A196" s="9"/>
      <c r="B196" s="9"/>
      <c r="C196" s="9" t="s">
        <v>112</v>
      </c>
      <c r="D196" s="8"/>
      <c r="E196" s="10" t="s">
        <v>117</v>
      </c>
      <c r="F196" s="9"/>
      <c r="G196" s="9"/>
    </row>
    <row r="197" spans="1:7" x14ac:dyDescent="0.35">
      <c r="A197" s="9"/>
      <c r="B197" s="9"/>
      <c r="C197" s="9" t="s">
        <v>114</v>
      </c>
      <c r="D197" s="10" t="s">
        <v>111</v>
      </c>
      <c r="E197" s="8"/>
      <c r="F197" s="9"/>
      <c r="G197" s="9"/>
    </row>
    <row r="198" spans="1:7" x14ac:dyDescent="0.35">
      <c r="A198" s="9"/>
      <c r="B198" s="9"/>
      <c r="C198" s="9" t="s">
        <v>118</v>
      </c>
      <c r="D198" s="10" t="s">
        <v>111</v>
      </c>
      <c r="E198" s="8"/>
      <c r="F198" s="9"/>
      <c r="G198" s="9"/>
    </row>
    <row r="199" spans="1:7" x14ac:dyDescent="0.35">
      <c r="A199" s="9"/>
      <c r="B199" s="9"/>
      <c r="C199" s="9"/>
      <c r="D199" s="8"/>
      <c r="E199" s="8"/>
      <c r="F199" s="9"/>
      <c r="G199" s="9"/>
    </row>
    <row r="200" spans="1:7" x14ac:dyDescent="0.35">
      <c r="A200" s="9" t="s">
        <v>171</v>
      </c>
      <c r="B200" s="9" t="s">
        <v>100</v>
      </c>
      <c r="C200" s="9" t="s">
        <v>110</v>
      </c>
      <c r="D200" s="10" t="s">
        <v>111</v>
      </c>
      <c r="E200" s="8"/>
      <c r="F200" s="9"/>
      <c r="G200" s="9"/>
    </row>
    <row r="201" spans="1:7" x14ac:dyDescent="0.35">
      <c r="A201" s="9"/>
      <c r="B201" s="9"/>
      <c r="C201" s="9" t="s">
        <v>112</v>
      </c>
      <c r="D201" s="10" t="s">
        <v>111</v>
      </c>
      <c r="E201" s="8"/>
      <c r="F201" s="9"/>
      <c r="G201" s="9"/>
    </row>
    <row r="202" spans="1:7" x14ac:dyDescent="0.35">
      <c r="A202" s="9"/>
      <c r="B202" s="9"/>
      <c r="C202" s="9" t="s">
        <v>114</v>
      </c>
      <c r="D202" s="8"/>
      <c r="E202" s="10" t="s">
        <v>117</v>
      </c>
      <c r="F202" s="9"/>
      <c r="G202" s="9"/>
    </row>
    <row r="203" spans="1:7" x14ac:dyDescent="0.35">
      <c r="A203" s="9"/>
      <c r="B203" s="9"/>
      <c r="C203" s="9" t="s">
        <v>118</v>
      </c>
      <c r="D203" s="10" t="s">
        <v>111</v>
      </c>
      <c r="E203" s="8"/>
      <c r="F203" s="9"/>
      <c r="G203" s="9"/>
    </row>
    <row r="204" spans="1:7" x14ac:dyDescent="0.35">
      <c r="A204" s="9"/>
      <c r="B204" s="9"/>
      <c r="C204" s="9"/>
      <c r="D204" s="8"/>
      <c r="E204" s="8"/>
      <c r="F204" s="9"/>
      <c r="G204" s="9"/>
    </row>
    <row r="205" spans="1:7" x14ac:dyDescent="0.35">
      <c r="A205" s="9" t="s">
        <v>172</v>
      </c>
      <c r="B205" s="9" t="s">
        <v>101</v>
      </c>
      <c r="C205" s="9" t="s">
        <v>110</v>
      </c>
      <c r="D205" s="10" t="s">
        <v>111</v>
      </c>
      <c r="E205" s="8"/>
      <c r="F205" s="9"/>
      <c r="G205" s="9"/>
    </row>
    <row r="206" spans="1:7" x14ac:dyDescent="0.35">
      <c r="A206" s="9"/>
      <c r="B206" s="9"/>
      <c r="C206" s="9" t="s">
        <v>112</v>
      </c>
      <c r="D206" s="8"/>
      <c r="E206" s="10" t="s">
        <v>117</v>
      </c>
      <c r="F206" s="9"/>
      <c r="G206" s="9"/>
    </row>
    <row r="207" spans="1:7" x14ac:dyDescent="0.35">
      <c r="A207" s="9"/>
      <c r="B207" s="9"/>
      <c r="C207" s="9" t="s">
        <v>114</v>
      </c>
      <c r="D207" s="10" t="s">
        <v>111</v>
      </c>
      <c r="E207" s="8"/>
      <c r="F207" s="9"/>
      <c r="G207" s="9"/>
    </row>
    <row r="208" spans="1:7" x14ac:dyDescent="0.35">
      <c r="A208" s="9"/>
      <c r="B208" s="9"/>
      <c r="C208" s="9" t="s">
        <v>118</v>
      </c>
      <c r="D208" s="10" t="s">
        <v>111</v>
      </c>
      <c r="E208" s="8"/>
      <c r="F208" s="9"/>
      <c r="G208" s="9"/>
    </row>
  </sheetData>
  <mergeCells count="5">
    <mergeCell ref="A1:C1"/>
    <mergeCell ref="A3:A4"/>
    <mergeCell ref="B3:B4"/>
    <mergeCell ref="C3:C4"/>
    <mergeCell ref="D3:G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E0258-EDD2-4711-AAD4-A385C3FF0A2C}">
  <dimension ref="A1:H48"/>
  <sheetViews>
    <sheetView zoomScale="85" zoomScaleNormal="85" workbookViewId="0">
      <selection activeCell="E41" sqref="E41"/>
    </sheetView>
  </sheetViews>
  <sheetFormatPr defaultRowHeight="14.5" x14ac:dyDescent="0.35"/>
  <cols>
    <col min="1" max="1" width="5.453125" customWidth="1"/>
    <col min="2" max="2" width="12" customWidth="1"/>
    <col min="3" max="3" width="11.1796875" customWidth="1"/>
    <col min="4" max="4" width="12.81640625" customWidth="1"/>
    <col min="5" max="5" width="11.26953125" customWidth="1"/>
    <col min="6" max="6" width="13.1796875" customWidth="1"/>
  </cols>
  <sheetData>
    <row r="1" spans="1:6" x14ac:dyDescent="0.35">
      <c r="A1" s="92" t="s">
        <v>194</v>
      </c>
      <c r="B1" s="92"/>
      <c r="C1" s="92"/>
      <c r="D1" s="92"/>
      <c r="E1" s="92"/>
      <c r="F1" s="92"/>
    </row>
    <row r="2" spans="1:6" x14ac:dyDescent="0.35">
      <c r="A2" s="93" t="s">
        <v>48</v>
      </c>
      <c r="B2" s="93" t="s">
        <v>206</v>
      </c>
      <c r="C2" s="93" t="s">
        <v>49</v>
      </c>
      <c r="D2" s="93"/>
      <c r="E2" s="93" t="s">
        <v>207</v>
      </c>
      <c r="F2" s="93" t="s">
        <v>199</v>
      </c>
    </row>
    <row r="3" spans="1:6" x14ac:dyDescent="0.35">
      <c r="A3" s="93"/>
      <c r="B3" s="93"/>
      <c r="C3" s="93"/>
      <c r="D3" s="93"/>
      <c r="E3" s="93"/>
      <c r="F3" s="93"/>
    </row>
    <row r="4" spans="1:6" x14ac:dyDescent="0.35">
      <c r="A4" s="93"/>
      <c r="B4" s="93"/>
      <c r="C4" s="29" t="s">
        <v>196</v>
      </c>
      <c r="D4" s="29" t="s">
        <v>197</v>
      </c>
      <c r="E4" s="93"/>
      <c r="F4" s="93"/>
    </row>
    <row r="5" spans="1:6" x14ac:dyDescent="0.35">
      <c r="A5" s="26">
        <v>1</v>
      </c>
      <c r="B5" s="26">
        <v>1</v>
      </c>
      <c r="C5" s="4">
        <v>80</v>
      </c>
      <c r="D5" s="4">
        <v>95</v>
      </c>
      <c r="E5" s="4">
        <f>(D5-C5)/(100-C5)</f>
        <v>0.75</v>
      </c>
      <c r="F5" s="26" t="s">
        <v>208</v>
      </c>
    </row>
    <row r="6" spans="1:6" x14ac:dyDescent="0.35">
      <c r="A6" s="26">
        <v>2</v>
      </c>
      <c r="B6" s="26">
        <v>2</v>
      </c>
      <c r="C6" s="4">
        <v>80</v>
      </c>
      <c r="D6" s="4">
        <v>95</v>
      </c>
      <c r="E6" s="4">
        <f t="shared" ref="E6:E46" si="0">(D6-C6)/(100-C6)</f>
        <v>0.75</v>
      </c>
      <c r="F6" s="26" t="s">
        <v>208</v>
      </c>
    </row>
    <row r="7" spans="1:6" x14ac:dyDescent="0.35">
      <c r="A7" s="26">
        <v>3</v>
      </c>
      <c r="B7" s="26">
        <v>3</v>
      </c>
      <c r="C7" s="4">
        <v>75</v>
      </c>
      <c r="D7" s="4">
        <v>95</v>
      </c>
      <c r="E7" s="4">
        <f t="shared" si="0"/>
        <v>0.8</v>
      </c>
      <c r="F7" s="26" t="s">
        <v>212</v>
      </c>
    </row>
    <row r="8" spans="1:6" x14ac:dyDescent="0.35">
      <c r="A8" s="26">
        <v>4</v>
      </c>
      <c r="B8" s="26">
        <v>4</v>
      </c>
      <c r="C8" s="4">
        <v>75</v>
      </c>
      <c r="D8" s="4">
        <v>90</v>
      </c>
      <c r="E8" s="4">
        <f t="shared" si="0"/>
        <v>0.6</v>
      </c>
      <c r="F8" s="26" t="s">
        <v>210</v>
      </c>
    </row>
    <row r="9" spans="1:6" x14ac:dyDescent="0.35">
      <c r="A9" s="26">
        <v>5</v>
      </c>
      <c r="B9" s="26">
        <v>5</v>
      </c>
      <c r="C9" s="4">
        <v>70</v>
      </c>
      <c r="D9" s="4">
        <v>90</v>
      </c>
      <c r="E9" s="28">
        <f t="shared" si="0"/>
        <v>0.66666666666666663</v>
      </c>
      <c r="F9" s="26" t="s">
        <v>209</v>
      </c>
    </row>
    <row r="10" spans="1:6" x14ac:dyDescent="0.35">
      <c r="A10" s="26">
        <v>6</v>
      </c>
      <c r="B10" s="26">
        <v>6</v>
      </c>
      <c r="C10" s="4">
        <v>60</v>
      </c>
      <c r="D10" s="4">
        <v>95</v>
      </c>
      <c r="E10" s="28">
        <f t="shared" si="0"/>
        <v>0.875</v>
      </c>
      <c r="F10" s="26" t="s">
        <v>200</v>
      </c>
    </row>
    <row r="11" spans="1:6" x14ac:dyDescent="0.35">
      <c r="A11" s="26">
        <v>7</v>
      </c>
      <c r="B11" s="26">
        <v>7</v>
      </c>
      <c r="C11" s="4">
        <v>65</v>
      </c>
      <c r="D11" s="4">
        <v>95</v>
      </c>
      <c r="E11" s="28">
        <f t="shared" si="0"/>
        <v>0.8571428571428571</v>
      </c>
      <c r="F11" s="26" t="s">
        <v>200</v>
      </c>
    </row>
    <row r="12" spans="1:6" x14ac:dyDescent="0.35">
      <c r="A12" s="26">
        <v>8</v>
      </c>
      <c r="B12" s="26">
        <v>8</v>
      </c>
      <c r="C12" s="4">
        <v>70</v>
      </c>
      <c r="D12" s="4">
        <v>90</v>
      </c>
      <c r="E12" s="28">
        <f t="shared" si="0"/>
        <v>0.66666666666666663</v>
      </c>
      <c r="F12" s="26" t="s">
        <v>208</v>
      </c>
    </row>
    <row r="13" spans="1:6" x14ac:dyDescent="0.35">
      <c r="A13" s="26">
        <v>9</v>
      </c>
      <c r="B13" s="26">
        <v>9</v>
      </c>
      <c r="C13" s="4">
        <v>75</v>
      </c>
      <c r="D13" s="4">
        <v>95</v>
      </c>
      <c r="E13" s="4">
        <f t="shared" si="0"/>
        <v>0.8</v>
      </c>
      <c r="F13" s="26" t="s">
        <v>210</v>
      </c>
    </row>
    <row r="14" spans="1:6" x14ac:dyDescent="0.35">
      <c r="A14" s="26">
        <v>10</v>
      </c>
      <c r="B14" s="26">
        <v>10</v>
      </c>
      <c r="C14" s="4">
        <v>60</v>
      </c>
      <c r="D14" s="4">
        <v>95</v>
      </c>
      <c r="E14" s="28">
        <f t="shared" si="0"/>
        <v>0.875</v>
      </c>
      <c r="F14" s="26" t="s">
        <v>200</v>
      </c>
    </row>
    <row r="15" spans="1:6" x14ac:dyDescent="0.35">
      <c r="A15" s="26">
        <v>11</v>
      </c>
      <c r="B15" s="26">
        <v>11</v>
      </c>
      <c r="C15" s="4">
        <v>65</v>
      </c>
      <c r="D15" s="4">
        <v>95</v>
      </c>
      <c r="E15" s="28">
        <f t="shared" si="0"/>
        <v>0.8571428571428571</v>
      </c>
      <c r="F15" s="26" t="s">
        <v>200</v>
      </c>
    </row>
    <row r="16" spans="1:6" x14ac:dyDescent="0.35">
      <c r="A16" s="26">
        <v>12</v>
      </c>
      <c r="B16" s="26">
        <v>12</v>
      </c>
      <c r="C16" s="4">
        <v>70</v>
      </c>
      <c r="D16" s="4">
        <v>95</v>
      </c>
      <c r="E16" s="28">
        <f t="shared" si="0"/>
        <v>0.83333333333333337</v>
      </c>
      <c r="F16" s="26" t="s">
        <v>208</v>
      </c>
    </row>
    <row r="17" spans="1:6" x14ac:dyDescent="0.35">
      <c r="A17" s="26">
        <v>13</v>
      </c>
      <c r="B17" s="26">
        <v>13</v>
      </c>
      <c r="C17" s="4">
        <v>70</v>
      </c>
      <c r="D17" s="4">
        <v>95</v>
      </c>
      <c r="E17" s="28">
        <f t="shared" si="0"/>
        <v>0.83333333333333337</v>
      </c>
      <c r="F17" s="26" t="s">
        <v>209</v>
      </c>
    </row>
    <row r="18" spans="1:6" x14ac:dyDescent="0.35">
      <c r="A18" s="26">
        <v>14</v>
      </c>
      <c r="B18" s="26">
        <v>14</v>
      </c>
      <c r="C18" s="4">
        <v>60</v>
      </c>
      <c r="D18" s="4">
        <v>95</v>
      </c>
      <c r="E18" s="28">
        <f t="shared" si="0"/>
        <v>0.875</v>
      </c>
      <c r="F18" s="26" t="s">
        <v>200</v>
      </c>
    </row>
    <row r="19" spans="1:6" x14ac:dyDescent="0.35">
      <c r="A19" s="26">
        <v>15</v>
      </c>
      <c r="B19" s="26">
        <v>15</v>
      </c>
      <c r="C19" s="4">
        <v>60</v>
      </c>
      <c r="D19" s="4">
        <v>95</v>
      </c>
      <c r="E19" s="28">
        <f t="shared" si="0"/>
        <v>0.875</v>
      </c>
      <c r="F19" s="26" t="s">
        <v>200</v>
      </c>
    </row>
    <row r="20" spans="1:6" x14ac:dyDescent="0.35">
      <c r="A20" s="26">
        <v>16</v>
      </c>
      <c r="B20" s="26">
        <v>16</v>
      </c>
      <c r="C20" s="4">
        <v>60</v>
      </c>
      <c r="D20" s="4">
        <v>95</v>
      </c>
      <c r="E20" s="28">
        <f t="shared" si="0"/>
        <v>0.875</v>
      </c>
      <c r="F20" s="26" t="s">
        <v>200</v>
      </c>
    </row>
    <row r="21" spans="1:6" x14ac:dyDescent="0.35">
      <c r="A21" s="26">
        <v>17</v>
      </c>
      <c r="B21" s="26">
        <v>17</v>
      </c>
      <c r="C21" s="4">
        <v>65</v>
      </c>
      <c r="D21" s="4">
        <v>95</v>
      </c>
      <c r="E21" s="28">
        <f t="shared" si="0"/>
        <v>0.8571428571428571</v>
      </c>
      <c r="F21" s="26" t="s">
        <v>200</v>
      </c>
    </row>
    <row r="22" spans="1:6" x14ac:dyDescent="0.35">
      <c r="A22" s="26">
        <v>18</v>
      </c>
      <c r="B22" s="26">
        <v>18</v>
      </c>
      <c r="C22" s="4">
        <v>70</v>
      </c>
      <c r="D22" s="4">
        <v>95</v>
      </c>
      <c r="E22" s="28">
        <f t="shared" si="0"/>
        <v>0.83333333333333337</v>
      </c>
      <c r="F22" s="26" t="s">
        <v>200</v>
      </c>
    </row>
    <row r="23" spans="1:6" x14ac:dyDescent="0.35">
      <c r="A23" s="26">
        <v>19</v>
      </c>
      <c r="B23" s="26">
        <v>19</v>
      </c>
      <c r="C23" s="4">
        <v>70</v>
      </c>
      <c r="D23" s="4">
        <v>90</v>
      </c>
      <c r="E23" s="28">
        <f t="shared" si="0"/>
        <v>0.66666666666666663</v>
      </c>
      <c r="F23" s="26" t="s">
        <v>209</v>
      </c>
    </row>
    <row r="24" spans="1:6" x14ac:dyDescent="0.35">
      <c r="A24" s="26">
        <v>20</v>
      </c>
      <c r="B24" s="26">
        <v>20</v>
      </c>
      <c r="C24" s="4">
        <v>70</v>
      </c>
      <c r="D24" s="4">
        <v>85</v>
      </c>
      <c r="E24" s="4">
        <f t="shared" si="0"/>
        <v>0.5</v>
      </c>
      <c r="F24" s="26" t="s">
        <v>210</v>
      </c>
    </row>
    <row r="25" spans="1:6" x14ac:dyDescent="0.35">
      <c r="A25" s="26">
        <v>21</v>
      </c>
      <c r="B25" s="26">
        <v>21</v>
      </c>
      <c r="C25" s="4">
        <v>70</v>
      </c>
      <c r="D25" s="4">
        <v>95</v>
      </c>
      <c r="E25" s="28">
        <f t="shared" si="0"/>
        <v>0.83333333333333337</v>
      </c>
      <c r="F25" s="26" t="s">
        <v>200</v>
      </c>
    </row>
    <row r="26" spans="1:6" x14ac:dyDescent="0.35">
      <c r="A26" s="26">
        <v>22</v>
      </c>
      <c r="B26" s="26">
        <v>22</v>
      </c>
      <c r="C26" s="4">
        <v>70</v>
      </c>
      <c r="D26" s="4">
        <v>95</v>
      </c>
      <c r="E26" s="28">
        <f t="shared" si="0"/>
        <v>0.83333333333333337</v>
      </c>
      <c r="F26" s="26" t="s">
        <v>200</v>
      </c>
    </row>
    <row r="27" spans="1:6" x14ac:dyDescent="0.35">
      <c r="A27" s="26">
        <v>23</v>
      </c>
      <c r="B27" s="26">
        <v>23</v>
      </c>
      <c r="C27" s="4">
        <v>75</v>
      </c>
      <c r="D27" s="4">
        <v>95</v>
      </c>
      <c r="E27" s="4">
        <f t="shared" si="0"/>
        <v>0.8</v>
      </c>
      <c r="F27" s="26" t="s">
        <v>210</v>
      </c>
    </row>
    <row r="28" spans="1:6" x14ac:dyDescent="0.35">
      <c r="A28" s="26">
        <v>24</v>
      </c>
      <c r="B28" s="26">
        <v>24</v>
      </c>
      <c r="C28" s="4">
        <v>70</v>
      </c>
      <c r="D28" s="4">
        <v>90</v>
      </c>
      <c r="E28" s="28">
        <f t="shared" si="0"/>
        <v>0.66666666666666663</v>
      </c>
      <c r="F28" s="26" t="s">
        <v>209</v>
      </c>
    </row>
    <row r="29" spans="1:6" x14ac:dyDescent="0.35">
      <c r="A29" s="26">
        <v>25</v>
      </c>
      <c r="B29" s="26">
        <v>25</v>
      </c>
      <c r="C29" s="4">
        <v>75</v>
      </c>
      <c r="D29" s="4">
        <v>90</v>
      </c>
      <c r="E29" s="4">
        <f t="shared" si="0"/>
        <v>0.6</v>
      </c>
      <c r="F29" s="26" t="s">
        <v>212</v>
      </c>
    </row>
    <row r="30" spans="1:6" x14ac:dyDescent="0.35">
      <c r="A30" s="26">
        <v>26</v>
      </c>
      <c r="B30" s="26">
        <v>26</v>
      </c>
      <c r="C30" s="4">
        <v>70</v>
      </c>
      <c r="D30" s="4">
        <v>90</v>
      </c>
      <c r="E30" s="28">
        <f t="shared" si="0"/>
        <v>0.66666666666666663</v>
      </c>
      <c r="F30" s="26" t="s">
        <v>209</v>
      </c>
    </row>
    <row r="31" spans="1:6" x14ac:dyDescent="0.35">
      <c r="A31" s="26">
        <v>27</v>
      </c>
      <c r="B31" s="26">
        <v>27</v>
      </c>
      <c r="C31" s="4">
        <v>70</v>
      </c>
      <c r="D31" s="4">
        <v>95</v>
      </c>
      <c r="E31" s="28">
        <f t="shared" si="0"/>
        <v>0.83333333333333337</v>
      </c>
      <c r="F31" s="26" t="s">
        <v>200</v>
      </c>
    </row>
    <row r="32" spans="1:6" x14ac:dyDescent="0.35">
      <c r="A32" s="26">
        <v>28</v>
      </c>
      <c r="B32" s="26">
        <v>28</v>
      </c>
      <c r="C32" s="4">
        <v>70</v>
      </c>
      <c r="D32" s="4">
        <v>95</v>
      </c>
      <c r="E32" s="28">
        <f t="shared" si="0"/>
        <v>0.83333333333333337</v>
      </c>
      <c r="F32" s="26" t="s">
        <v>210</v>
      </c>
    </row>
    <row r="33" spans="1:8" x14ac:dyDescent="0.35">
      <c r="A33" s="26">
        <v>29</v>
      </c>
      <c r="B33" s="26">
        <v>29</v>
      </c>
      <c r="C33" s="4">
        <v>70</v>
      </c>
      <c r="D33" s="4">
        <v>80</v>
      </c>
      <c r="E33" s="28">
        <f t="shared" si="0"/>
        <v>0.33333333333333331</v>
      </c>
      <c r="F33" s="26" t="s">
        <v>209</v>
      </c>
    </row>
    <row r="34" spans="1:8" x14ac:dyDescent="0.35">
      <c r="A34" s="26">
        <v>30</v>
      </c>
      <c r="B34" s="26">
        <v>30</v>
      </c>
      <c r="C34" s="4">
        <v>65</v>
      </c>
      <c r="D34" s="4">
        <v>90</v>
      </c>
      <c r="E34" s="28">
        <f t="shared" si="0"/>
        <v>0.7142857142857143</v>
      </c>
      <c r="F34" s="26" t="s">
        <v>200</v>
      </c>
    </row>
    <row r="35" spans="1:8" x14ac:dyDescent="0.35">
      <c r="A35" s="26">
        <v>31</v>
      </c>
      <c r="B35" s="26">
        <v>31</v>
      </c>
      <c r="C35" s="4">
        <v>70</v>
      </c>
      <c r="D35" s="4">
        <v>90</v>
      </c>
      <c r="E35" s="28">
        <f t="shared" si="0"/>
        <v>0.66666666666666663</v>
      </c>
      <c r="F35" s="26" t="s">
        <v>209</v>
      </c>
    </row>
    <row r="36" spans="1:8" x14ac:dyDescent="0.35">
      <c r="A36" s="26">
        <v>32</v>
      </c>
      <c r="B36" s="26">
        <v>32</v>
      </c>
      <c r="C36" s="4">
        <v>65</v>
      </c>
      <c r="D36" s="4">
        <v>90</v>
      </c>
      <c r="E36" s="28">
        <f t="shared" si="0"/>
        <v>0.7142857142857143</v>
      </c>
      <c r="F36" s="26" t="s">
        <v>200</v>
      </c>
    </row>
    <row r="37" spans="1:8" x14ac:dyDescent="0.35">
      <c r="A37" s="26">
        <v>33</v>
      </c>
      <c r="B37" s="26">
        <v>33</v>
      </c>
      <c r="C37" s="4">
        <v>70</v>
      </c>
      <c r="D37" s="4">
        <v>95</v>
      </c>
      <c r="E37" s="28">
        <f t="shared" si="0"/>
        <v>0.83333333333333337</v>
      </c>
      <c r="F37" s="26" t="s">
        <v>200</v>
      </c>
    </row>
    <row r="38" spans="1:8" x14ac:dyDescent="0.35">
      <c r="A38" s="26">
        <v>34</v>
      </c>
      <c r="B38" s="26">
        <v>34</v>
      </c>
      <c r="C38" s="4">
        <v>60</v>
      </c>
      <c r="D38" s="4">
        <v>85</v>
      </c>
      <c r="E38" s="28">
        <f t="shared" si="0"/>
        <v>0.625</v>
      </c>
      <c r="F38" s="26" t="s">
        <v>209</v>
      </c>
    </row>
    <row r="39" spans="1:8" x14ac:dyDescent="0.35">
      <c r="A39" s="26">
        <v>35</v>
      </c>
      <c r="B39" s="26">
        <v>35</v>
      </c>
      <c r="C39" s="4">
        <v>70</v>
      </c>
      <c r="D39" s="4">
        <v>90</v>
      </c>
      <c r="E39" s="28">
        <f t="shared" si="0"/>
        <v>0.66666666666666663</v>
      </c>
      <c r="F39" s="26" t="s">
        <v>208</v>
      </c>
    </row>
    <row r="40" spans="1:8" x14ac:dyDescent="0.35">
      <c r="A40" s="26">
        <v>36</v>
      </c>
      <c r="B40" s="26">
        <v>36</v>
      </c>
      <c r="C40" s="4">
        <v>60</v>
      </c>
      <c r="D40" s="4">
        <v>90</v>
      </c>
      <c r="E40" s="4">
        <f t="shared" si="0"/>
        <v>0.75</v>
      </c>
      <c r="F40" s="26" t="s">
        <v>200</v>
      </c>
    </row>
    <row r="41" spans="1:8" x14ac:dyDescent="0.35">
      <c r="A41" s="26">
        <v>37</v>
      </c>
      <c r="B41" s="26">
        <v>37</v>
      </c>
      <c r="C41" s="4">
        <v>70</v>
      </c>
      <c r="D41" s="4">
        <v>95</v>
      </c>
      <c r="E41" s="28">
        <f t="shared" si="0"/>
        <v>0.83333333333333337</v>
      </c>
      <c r="F41" s="26" t="s">
        <v>212</v>
      </c>
    </row>
    <row r="42" spans="1:8" x14ac:dyDescent="0.35">
      <c r="A42" s="26">
        <v>38</v>
      </c>
      <c r="B42" s="26">
        <v>38</v>
      </c>
      <c r="C42" s="4">
        <v>80</v>
      </c>
      <c r="D42" s="4">
        <v>95</v>
      </c>
      <c r="E42" s="4">
        <f t="shared" si="0"/>
        <v>0.75</v>
      </c>
      <c r="F42" s="26" t="s">
        <v>200</v>
      </c>
    </row>
    <row r="43" spans="1:8" x14ac:dyDescent="0.35">
      <c r="A43" s="26">
        <v>39</v>
      </c>
      <c r="B43" s="26">
        <v>39</v>
      </c>
      <c r="C43" s="4">
        <v>70</v>
      </c>
      <c r="D43" s="4">
        <v>90</v>
      </c>
      <c r="E43" s="28">
        <f t="shared" si="0"/>
        <v>0.66666666666666663</v>
      </c>
      <c r="F43" s="26" t="s">
        <v>208</v>
      </c>
    </row>
    <row r="44" spans="1:8" x14ac:dyDescent="0.35">
      <c r="A44" s="26">
        <v>40</v>
      </c>
      <c r="B44" s="26">
        <v>40</v>
      </c>
      <c r="C44" s="4">
        <v>70</v>
      </c>
      <c r="D44" s="4">
        <v>95</v>
      </c>
      <c r="E44" s="28">
        <f t="shared" si="0"/>
        <v>0.83333333333333337</v>
      </c>
      <c r="F44" s="26" t="s">
        <v>200</v>
      </c>
    </row>
    <row r="45" spans="1:8" x14ac:dyDescent="0.35">
      <c r="A45" s="26">
        <v>41</v>
      </c>
      <c r="B45" s="26">
        <v>41</v>
      </c>
      <c r="C45" s="4">
        <v>70</v>
      </c>
      <c r="D45" s="4">
        <v>95</v>
      </c>
      <c r="E45" s="28">
        <f t="shared" si="0"/>
        <v>0.83333333333333337</v>
      </c>
      <c r="F45" s="26" t="s">
        <v>200</v>
      </c>
    </row>
    <row r="46" spans="1:8" x14ac:dyDescent="0.35">
      <c r="A46" s="26">
        <v>42</v>
      </c>
      <c r="B46" s="26">
        <v>42</v>
      </c>
      <c r="C46" s="4">
        <v>70</v>
      </c>
      <c r="D46" s="4">
        <v>90</v>
      </c>
      <c r="E46" s="28">
        <f t="shared" si="0"/>
        <v>0.66666666666666663</v>
      </c>
      <c r="F46" s="26" t="s">
        <v>209</v>
      </c>
    </row>
    <row r="47" spans="1:8" x14ac:dyDescent="0.35">
      <c r="A47" s="91" t="s">
        <v>174</v>
      </c>
      <c r="B47" s="91"/>
      <c r="C47" s="4">
        <f>SUM(C5:C46)</f>
        <v>2900</v>
      </c>
      <c r="D47" s="4">
        <f>SUM(D5:D46)</f>
        <v>3885</v>
      </c>
      <c r="E47" s="28">
        <f>SUM(E5:E46)</f>
        <v>31.6</v>
      </c>
      <c r="F47" s="26"/>
      <c r="H47" s="41"/>
    </row>
    <row r="48" spans="1:8" x14ac:dyDescent="0.35">
      <c r="A48" s="89" t="s">
        <v>202</v>
      </c>
      <c r="B48" s="90"/>
      <c r="C48" s="28">
        <f>AVERAGE(C5:C46)</f>
        <v>69.047619047619051</v>
      </c>
      <c r="D48" s="28">
        <f>AVERAGE(D5:D46)</f>
        <v>92.5</v>
      </c>
      <c r="E48" s="28">
        <f>AVERAGE(E5:E46)</f>
        <v>0.75238095238095237</v>
      </c>
      <c r="F48" s="4" t="s">
        <v>200</v>
      </c>
    </row>
  </sheetData>
  <mergeCells count="8">
    <mergeCell ref="A48:B48"/>
    <mergeCell ref="A47:B47"/>
    <mergeCell ref="A1:F1"/>
    <mergeCell ref="A2:A4"/>
    <mergeCell ref="B2:B4"/>
    <mergeCell ref="C2:D3"/>
    <mergeCell ref="E2:E4"/>
    <mergeCell ref="F2:F4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A2558-F4CE-4510-A3D1-CAE421F9615A}">
  <dimension ref="A1:F47"/>
  <sheetViews>
    <sheetView workbookViewId="0">
      <selection activeCell="H32" sqref="H32"/>
    </sheetView>
  </sheetViews>
  <sheetFormatPr defaultRowHeight="14.5" x14ac:dyDescent="0.35"/>
  <cols>
    <col min="2" max="2" width="12" customWidth="1"/>
  </cols>
  <sheetData>
    <row r="1" spans="1:6" x14ac:dyDescent="0.35">
      <c r="A1" s="92" t="s">
        <v>201</v>
      </c>
      <c r="B1" s="92"/>
      <c r="C1" s="92"/>
      <c r="D1" s="92"/>
      <c r="E1" s="92"/>
      <c r="F1" s="92"/>
    </row>
    <row r="2" spans="1:6" x14ac:dyDescent="0.35">
      <c r="A2" s="96" t="s">
        <v>48</v>
      </c>
      <c r="B2" s="96" t="s">
        <v>195</v>
      </c>
      <c r="C2" s="96" t="s">
        <v>49</v>
      </c>
      <c r="D2" s="96"/>
      <c r="E2" s="96" t="s">
        <v>198</v>
      </c>
      <c r="F2" s="96" t="s">
        <v>199</v>
      </c>
    </row>
    <row r="3" spans="1:6" x14ac:dyDescent="0.35">
      <c r="A3" s="96"/>
      <c r="B3" s="96"/>
      <c r="C3" s="96"/>
      <c r="D3" s="96"/>
      <c r="E3" s="96"/>
      <c r="F3" s="96"/>
    </row>
    <row r="4" spans="1:6" x14ac:dyDescent="0.35">
      <c r="A4" s="96"/>
      <c r="B4" s="96"/>
      <c r="C4" s="32" t="s">
        <v>196</v>
      </c>
      <c r="D4" s="32" t="s">
        <v>197</v>
      </c>
      <c r="E4" s="96"/>
      <c r="F4" s="96"/>
    </row>
    <row r="5" spans="1:6" x14ac:dyDescent="0.35">
      <c r="A5" s="26">
        <v>1</v>
      </c>
      <c r="B5" s="26">
        <v>1</v>
      </c>
      <c r="C5" s="4">
        <v>70</v>
      </c>
      <c r="D5" s="4">
        <v>95</v>
      </c>
      <c r="E5" s="30">
        <f>(D5-C5)/(100-C5)</f>
        <v>0.83333333333333337</v>
      </c>
      <c r="F5" s="26" t="s">
        <v>210</v>
      </c>
    </row>
    <row r="6" spans="1:6" x14ac:dyDescent="0.35">
      <c r="A6" s="26">
        <v>2</v>
      </c>
      <c r="B6" s="26">
        <v>2</v>
      </c>
      <c r="C6" s="4">
        <v>70</v>
      </c>
      <c r="D6" s="4">
        <v>95</v>
      </c>
      <c r="E6" s="30">
        <f>(D6-C6)/(100-C6)</f>
        <v>0.83333333333333337</v>
      </c>
      <c r="F6" s="26" t="s">
        <v>210</v>
      </c>
    </row>
    <row r="7" spans="1:6" x14ac:dyDescent="0.35">
      <c r="A7" s="26">
        <v>3</v>
      </c>
      <c r="B7" s="26">
        <v>3</v>
      </c>
      <c r="C7" s="4">
        <v>70</v>
      </c>
      <c r="D7" s="4">
        <v>95</v>
      </c>
      <c r="E7" s="30">
        <f t="shared" ref="E7:E45" si="0">(D7-C7)/(100-C7)</f>
        <v>0.83333333333333337</v>
      </c>
      <c r="F7" s="26" t="s">
        <v>210</v>
      </c>
    </row>
    <row r="8" spans="1:6" x14ac:dyDescent="0.35">
      <c r="A8" s="26">
        <v>4</v>
      </c>
      <c r="B8" s="26">
        <v>4</v>
      </c>
      <c r="C8" s="4">
        <v>75</v>
      </c>
      <c r="D8" s="4">
        <v>95</v>
      </c>
      <c r="E8" s="30">
        <f t="shared" si="0"/>
        <v>0.8</v>
      </c>
      <c r="F8" s="26" t="s">
        <v>210</v>
      </c>
    </row>
    <row r="9" spans="1:6" x14ac:dyDescent="0.35">
      <c r="A9" s="26">
        <v>5</v>
      </c>
      <c r="B9" s="26">
        <v>5</v>
      </c>
      <c r="C9" s="4">
        <v>60</v>
      </c>
      <c r="D9" s="4">
        <v>70</v>
      </c>
      <c r="E9" s="30">
        <f t="shared" si="0"/>
        <v>0.25</v>
      </c>
      <c r="F9" s="26" t="s">
        <v>210</v>
      </c>
    </row>
    <row r="10" spans="1:6" x14ac:dyDescent="0.35">
      <c r="A10" s="26">
        <v>6</v>
      </c>
      <c r="B10" s="26">
        <v>6</v>
      </c>
      <c r="C10" s="4">
        <v>65</v>
      </c>
      <c r="D10" s="4">
        <v>75</v>
      </c>
      <c r="E10" s="30">
        <f t="shared" si="0"/>
        <v>0.2857142857142857</v>
      </c>
      <c r="F10" s="26" t="s">
        <v>210</v>
      </c>
    </row>
    <row r="11" spans="1:6" x14ac:dyDescent="0.35">
      <c r="A11" s="26">
        <v>7</v>
      </c>
      <c r="B11" s="26">
        <v>7</v>
      </c>
      <c r="C11" s="4">
        <v>60</v>
      </c>
      <c r="D11" s="4">
        <v>70</v>
      </c>
      <c r="E11" s="30">
        <f t="shared" si="0"/>
        <v>0.25</v>
      </c>
      <c r="F11" s="26" t="s">
        <v>210</v>
      </c>
    </row>
    <row r="12" spans="1:6" x14ac:dyDescent="0.35">
      <c r="A12" s="26">
        <v>8</v>
      </c>
      <c r="B12" s="26">
        <v>8</v>
      </c>
      <c r="C12" s="4">
        <v>60</v>
      </c>
      <c r="D12" s="4">
        <v>70</v>
      </c>
      <c r="E12" s="30">
        <f t="shared" si="0"/>
        <v>0.25</v>
      </c>
      <c r="F12" s="26" t="s">
        <v>210</v>
      </c>
    </row>
    <row r="13" spans="1:6" x14ac:dyDescent="0.35">
      <c r="A13" s="26">
        <v>9</v>
      </c>
      <c r="B13" s="26">
        <v>9</v>
      </c>
      <c r="C13" s="4">
        <v>75</v>
      </c>
      <c r="D13" s="4">
        <v>80</v>
      </c>
      <c r="E13" s="30">
        <f t="shared" si="0"/>
        <v>0.2</v>
      </c>
      <c r="F13" s="26" t="s">
        <v>210</v>
      </c>
    </row>
    <row r="14" spans="1:6" x14ac:dyDescent="0.35">
      <c r="A14" s="26">
        <v>10</v>
      </c>
      <c r="B14" s="26">
        <v>10</v>
      </c>
      <c r="C14" s="4">
        <v>65</v>
      </c>
      <c r="D14" s="4">
        <v>75</v>
      </c>
      <c r="E14" s="30">
        <f t="shared" si="0"/>
        <v>0.2857142857142857</v>
      </c>
      <c r="F14" s="26" t="s">
        <v>210</v>
      </c>
    </row>
    <row r="15" spans="1:6" x14ac:dyDescent="0.35">
      <c r="A15" s="26">
        <v>11</v>
      </c>
      <c r="B15" s="26">
        <v>11</v>
      </c>
      <c r="C15" s="4">
        <v>65</v>
      </c>
      <c r="D15" s="4">
        <v>75</v>
      </c>
      <c r="E15" s="30">
        <f t="shared" si="0"/>
        <v>0.2857142857142857</v>
      </c>
      <c r="F15" s="26" t="s">
        <v>210</v>
      </c>
    </row>
    <row r="16" spans="1:6" x14ac:dyDescent="0.35">
      <c r="A16" s="26">
        <v>12</v>
      </c>
      <c r="B16" s="26">
        <v>12</v>
      </c>
      <c r="C16" s="4">
        <v>60</v>
      </c>
      <c r="D16" s="4">
        <v>70</v>
      </c>
      <c r="E16" s="30">
        <f t="shared" si="0"/>
        <v>0.25</v>
      </c>
      <c r="F16" s="26" t="s">
        <v>210</v>
      </c>
    </row>
    <row r="17" spans="1:6" x14ac:dyDescent="0.35">
      <c r="A17" s="26">
        <v>13</v>
      </c>
      <c r="B17" s="26">
        <v>13</v>
      </c>
      <c r="C17" s="4">
        <v>60</v>
      </c>
      <c r="D17" s="4">
        <v>70</v>
      </c>
      <c r="E17" s="30">
        <f t="shared" si="0"/>
        <v>0.25</v>
      </c>
      <c r="F17" s="26" t="s">
        <v>210</v>
      </c>
    </row>
    <row r="18" spans="1:6" x14ac:dyDescent="0.35">
      <c r="A18" s="26">
        <v>14</v>
      </c>
      <c r="B18" s="26">
        <v>14</v>
      </c>
      <c r="C18" s="4">
        <v>60</v>
      </c>
      <c r="D18" s="4">
        <v>70</v>
      </c>
      <c r="E18" s="30">
        <f t="shared" si="0"/>
        <v>0.25</v>
      </c>
      <c r="F18" s="26" t="s">
        <v>210</v>
      </c>
    </row>
    <row r="19" spans="1:6" x14ac:dyDescent="0.35">
      <c r="A19" s="26">
        <v>15</v>
      </c>
      <c r="B19" s="26">
        <v>15</v>
      </c>
      <c r="C19" s="4">
        <v>60</v>
      </c>
      <c r="D19" s="4">
        <v>70</v>
      </c>
      <c r="E19" s="30">
        <f t="shared" si="0"/>
        <v>0.25</v>
      </c>
      <c r="F19" s="26" t="s">
        <v>210</v>
      </c>
    </row>
    <row r="20" spans="1:6" x14ac:dyDescent="0.35">
      <c r="A20" s="26">
        <v>16</v>
      </c>
      <c r="B20" s="26">
        <v>16</v>
      </c>
      <c r="C20" s="4">
        <v>60</v>
      </c>
      <c r="D20" s="4">
        <v>70</v>
      </c>
      <c r="E20" s="30">
        <f t="shared" si="0"/>
        <v>0.25</v>
      </c>
      <c r="F20" s="26" t="s">
        <v>210</v>
      </c>
    </row>
    <row r="21" spans="1:6" x14ac:dyDescent="0.35">
      <c r="A21" s="26">
        <v>17</v>
      </c>
      <c r="B21" s="26">
        <v>17</v>
      </c>
      <c r="C21" s="4">
        <v>65</v>
      </c>
      <c r="D21" s="4">
        <v>70</v>
      </c>
      <c r="E21" s="30">
        <f t="shared" si="0"/>
        <v>0.14285714285714285</v>
      </c>
      <c r="F21" s="26" t="s">
        <v>210</v>
      </c>
    </row>
    <row r="22" spans="1:6" x14ac:dyDescent="0.35">
      <c r="A22" s="26">
        <v>18</v>
      </c>
      <c r="B22" s="26">
        <v>18</v>
      </c>
      <c r="C22" s="4">
        <v>60</v>
      </c>
      <c r="D22" s="4">
        <v>70</v>
      </c>
      <c r="E22" s="30">
        <f t="shared" si="0"/>
        <v>0.25</v>
      </c>
      <c r="F22" s="26" t="s">
        <v>210</v>
      </c>
    </row>
    <row r="23" spans="1:6" x14ac:dyDescent="0.35">
      <c r="A23" s="26">
        <v>19</v>
      </c>
      <c r="B23" s="26">
        <v>19</v>
      </c>
      <c r="C23" s="4">
        <v>75</v>
      </c>
      <c r="D23" s="4">
        <v>80</v>
      </c>
      <c r="E23" s="30">
        <f t="shared" si="0"/>
        <v>0.2</v>
      </c>
      <c r="F23" s="26" t="s">
        <v>210</v>
      </c>
    </row>
    <row r="24" spans="1:6" x14ac:dyDescent="0.35">
      <c r="A24" s="26">
        <v>20</v>
      </c>
      <c r="B24" s="26">
        <v>20</v>
      </c>
      <c r="C24" s="4">
        <v>75</v>
      </c>
      <c r="D24" s="4">
        <v>80</v>
      </c>
      <c r="E24" s="30">
        <f t="shared" si="0"/>
        <v>0.2</v>
      </c>
      <c r="F24" s="26" t="s">
        <v>210</v>
      </c>
    </row>
    <row r="25" spans="1:6" x14ac:dyDescent="0.35">
      <c r="A25" s="26">
        <v>21</v>
      </c>
      <c r="B25" s="26">
        <v>21</v>
      </c>
      <c r="C25" s="4">
        <v>70</v>
      </c>
      <c r="D25" s="4">
        <v>85</v>
      </c>
      <c r="E25" s="30">
        <f t="shared" si="0"/>
        <v>0.5</v>
      </c>
      <c r="F25" s="26" t="s">
        <v>209</v>
      </c>
    </row>
    <row r="26" spans="1:6" x14ac:dyDescent="0.35">
      <c r="A26" s="26">
        <v>22</v>
      </c>
      <c r="B26" s="26">
        <v>22</v>
      </c>
      <c r="C26" s="4">
        <v>65</v>
      </c>
      <c r="D26" s="4">
        <v>70</v>
      </c>
      <c r="E26" s="30">
        <f t="shared" si="0"/>
        <v>0.14285714285714285</v>
      </c>
      <c r="F26" s="26" t="s">
        <v>210</v>
      </c>
    </row>
    <row r="27" spans="1:6" x14ac:dyDescent="0.35">
      <c r="A27" s="26">
        <v>23</v>
      </c>
      <c r="B27" s="26">
        <v>23</v>
      </c>
      <c r="C27" s="4">
        <v>60</v>
      </c>
      <c r="D27" s="4">
        <v>70</v>
      </c>
      <c r="E27" s="30">
        <f t="shared" si="0"/>
        <v>0.25</v>
      </c>
      <c r="F27" s="26" t="s">
        <v>210</v>
      </c>
    </row>
    <row r="28" spans="1:6" x14ac:dyDescent="0.35">
      <c r="A28" s="26">
        <v>24</v>
      </c>
      <c r="B28" s="26">
        <v>24</v>
      </c>
      <c r="C28" s="4">
        <v>65</v>
      </c>
      <c r="D28" s="4">
        <v>70</v>
      </c>
      <c r="E28" s="30">
        <f t="shared" si="0"/>
        <v>0.14285714285714285</v>
      </c>
      <c r="F28" s="26" t="s">
        <v>210</v>
      </c>
    </row>
    <row r="29" spans="1:6" x14ac:dyDescent="0.35">
      <c r="A29" s="26">
        <v>25</v>
      </c>
      <c r="B29" s="26">
        <v>25</v>
      </c>
      <c r="C29" s="4">
        <v>60</v>
      </c>
      <c r="D29" s="4">
        <v>70</v>
      </c>
      <c r="E29" s="30">
        <f t="shared" si="0"/>
        <v>0.25</v>
      </c>
      <c r="F29" s="26" t="s">
        <v>210</v>
      </c>
    </row>
    <row r="30" spans="1:6" x14ac:dyDescent="0.35">
      <c r="A30" s="26">
        <v>26</v>
      </c>
      <c r="B30" s="26">
        <v>26</v>
      </c>
      <c r="C30" s="4">
        <v>65</v>
      </c>
      <c r="D30" s="4">
        <v>75</v>
      </c>
      <c r="E30" s="30">
        <f t="shared" si="0"/>
        <v>0.2857142857142857</v>
      </c>
      <c r="F30" s="26" t="s">
        <v>210</v>
      </c>
    </row>
    <row r="31" spans="1:6" x14ac:dyDescent="0.35">
      <c r="A31" s="26">
        <v>27</v>
      </c>
      <c r="B31" s="26">
        <v>27</v>
      </c>
      <c r="C31" s="4">
        <v>60</v>
      </c>
      <c r="D31" s="4">
        <v>70</v>
      </c>
      <c r="E31" s="30">
        <f t="shared" si="0"/>
        <v>0.25</v>
      </c>
      <c r="F31" s="26" t="s">
        <v>210</v>
      </c>
    </row>
    <row r="32" spans="1:6" x14ac:dyDescent="0.35">
      <c r="A32" s="26">
        <v>28</v>
      </c>
      <c r="B32" s="26">
        <v>28</v>
      </c>
      <c r="C32" s="4">
        <v>60</v>
      </c>
      <c r="D32" s="4">
        <v>70</v>
      </c>
      <c r="E32" s="30">
        <f t="shared" si="0"/>
        <v>0.25</v>
      </c>
      <c r="F32" s="26" t="s">
        <v>210</v>
      </c>
    </row>
    <row r="33" spans="1:6" x14ac:dyDescent="0.35">
      <c r="A33" s="26">
        <v>29</v>
      </c>
      <c r="B33" s="26">
        <v>29</v>
      </c>
      <c r="C33" s="4">
        <v>70</v>
      </c>
      <c r="D33" s="4">
        <v>90</v>
      </c>
      <c r="E33" s="30">
        <f t="shared" si="0"/>
        <v>0.66666666666666663</v>
      </c>
      <c r="F33" s="26" t="s">
        <v>209</v>
      </c>
    </row>
    <row r="34" spans="1:6" x14ac:dyDescent="0.35">
      <c r="A34" s="26">
        <v>30</v>
      </c>
      <c r="B34" s="26">
        <v>30</v>
      </c>
      <c r="C34" s="4">
        <v>65</v>
      </c>
      <c r="D34" s="4">
        <v>75</v>
      </c>
      <c r="E34" s="30">
        <f t="shared" si="0"/>
        <v>0.2857142857142857</v>
      </c>
      <c r="F34" s="26" t="s">
        <v>210</v>
      </c>
    </row>
    <row r="35" spans="1:6" x14ac:dyDescent="0.35">
      <c r="A35" s="26">
        <v>31</v>
      </c>
      <c r="B35" s="26">
        <v>31</v>
      </c>
      <c r="C35" s="4">
        <v>60</v>
      </c>
      <c r="D35" s="4">
        <v>90</v>
      </c>
      <c r="E35" s="30">
        <f t="shared" si="0"/>
        <v>0.75</v>
      </c>
      <c r="F35" s="26" t="s">
        <v>211</v>
      </c>
    </row>
    <row r="36" spans="1:6" x14ac:dyDescent="0.35">
      <c r="A36" s="26">
        <v>32</v>
      </c>
      <c r="B36" s="26">
        <v>32</v>
      </c>
      <c r="C36" s="4">
        <v>70</v>
      </c>
      <c r="D36" s="4">
        <v>90</v>
      </c>
      <c r="E36" s="30">
        <f t="shared" si="0"/>
        <v>0.66666666666666663</v>
      </c>
      <c r="F36" s="26" t="s">
        <v>208</v>
      </c>
    </row>
    <row r="37" spans="1:6" x14ac:dyDescent="0.35">
      <c r="A37" s="26">
        <v>33</v>
      </c>
      <c r="B37" s="26">
        <v>33</v>
      </c>
      <c r="C37" s="4">
        <v>60</v>
      </c>
      <c r="D37" s="4">
        <v>90</v>
      </c>
      <c r="E37" s="30">
        <f t="shared" si="0"/>
        <v>0.75</v>
      </c>
      <c r="F37" s="26" t="s">
        <v>200</v>
      </c>
    </row>
    <row r="38" spans="1:6" x14ac:dyDescent="0.35">
      <c r="A38" s="26">
        <v>34</v>
      </c>
      <c r="B38" s="26">
        <v>34</v>
      </c>
      <c r="C38" s="4">
        <v>60</v>
      </c>
      <c r="D38" s="4">
        <v>70</v>
      </c>
      <c r="E38" s="30">
        <f t="shared" si="0"/>
        <v>0.25</v>
      </c>
      <c r="F38" s="26" t="s">
        <v>210</v>
      </c>
    </row>
    <row r="39" spans="1:6" x14ac:dyDescent="0.35">
      <c r="A39" s="26">
        <v>35</v>
      </c>
      <c r="B39" s="26">
        <v>35</v>
      </c>
      <c r="C39" s="4">
        <v>65</v>
      </c>
      <c r="D39" s="4">
        <v>70</v>
      </c>
      <c r="E39" s="30">
        <f t="shared" si="0"/>
        <v>0.14285714285714285</v>
      </c>
      <c r="F39" s="26" t="s">
        <v>210</v>
      </c>
    </row>
    <row r="40" spans="1:6" x14ac:dyDescent="0.35">
      <c r="A40" s="26">
        <v>36</v>
      </c>
      <c r="B40" s="26">
        <v>36</v>
      </c>
      <c r="C40" s="4">
        <v>65</v>
      </c>
      <c r="D40" s="4">
        <v>75</v>
      </c>
      <c r="E40" s="30">
        <f t="shared" si="0"/>
        <v>0.2857142857142857</v>
      </c>
      <c r="F40" s="26" t="s">
        <v>210</v>
      </c>
    </row>
    <row r="41" spans="1:6" x14ac:dyDescent="0.35">
      <c r="A41" s="26">
        <v>37</v>
      </c>
      <c r="B41" s="26">
        <v>37</v>
      </c>
      <c r="C41" s="4">
        <v>65</v>
      </c>
      <c r="D41" s="4">
        <v>75</v>
      </c>
      <c r="E41" s="30">
        <f t="shared" si="0"/>
        <v>0.2857142857142857</v>
      </c>
      <c r="F41" s="26" t="s">
        <v>210</v>
      </c>
    </row>
    <row r="42" spans="1:6" x14ac:dyDescent="0.35">
      <c r="A42" s="26">
        <v>38</v>
      </c>
      <c r="B42" s="26">
        <v>38</v>
      </c>
      <c r="C42" s="4">
        <v>60</v>
      </c>
      <c r="D42" s="4">
        <v>90</v>
      </c>
      <c r="E42" s="30">
        <f t="shared" si="0"/>
        <v>0.75</v>
      </c>
      <c r="F42" s="26" t="s">
        <v>200</v>
      </c>
    </row>
    <row r="43" spans="1:6" x14ac:dyDescent="0.35">
      <c r="A43" s="26">
        <v>39</v>
      </c>
      <c r="B43" s="26">
        <v>39</v>
      </c>
      <c r="C43" s="4">
        <v>65</v>
      </c>
      <c r="D43" s="4">
        <v>70</v>
      </c>
      <c r="E43" s="30">
        <f t="shared" si="0"/>
        <v>0.14285714285714285</v>
      </c>
      <c r="F43" s="26" t="s">
        <v>210</v>
      </c>
    </row>
    <row r="44" spans="1:6" x14ac:dyDescent="0.35">
      <c r="A44" s="26">
        <v>40</v>
      </c>
      <c r="B44" s="26">
        <v>40</v>
      </c>
      <c r="C44" s="4">
        <v>65</v>
      </c>
      <c r="D44" s="4">
        <v>75</v>
      </c>
      <c r="E44" s="30">
        <f t="shared" si="0"/>
        <v>0.2857142857142857</v>
      </c>
      <c r="F44" s="26" t="s">
        <v>210</v>
      </c>
    </row>
    <row r="45" spans="1:6" x14ac:dyDescent="0.35">
      <c r="A45" s="26">
        <v>41</v>
      </c>
      <c r="B45" s="26">
        <v>41</v>
      </c>
      <c r="C45" s="4">
        <v>65</v>
      </c>
      <c r="D45" s="4">
        <v>70</v>
      </c>
      <c r="E45" s="30">
        <f t="shared" si="0"/>
        <v>0.14285714285714285</v>
      </c>
      <c r="F45" s="31" t="s">
        <v>210</v>
      </c>
    </row>
    <row r="46" spans="1:6" x14ac:dyDescent="0.35">
      <c r="A46" s="94" t="s">
        <v>174</v>
      </c>
      <c r="B46" s="95"/>
      <c r="C46" s="4">
        <f>SUM(C5:C45)</f>
        <v>2650</v>
      </c>
      <c r="D46" s="4">
        <f>SUM(D5:D45)</f>
        <v>3155</v>
      </c>
      <c r="E46" s="28">
        <f t="shared" ref="E46" si="1">SUM(E5:E45)</f>
        <v>14.626190476190478</v>
      </c>
      <c r="F46" s="26"/>
    </row>
    <row r="47" spans="1:6" x14ac:dyDescent="0.35">
      <c r="A47" s="94" t="s">
        <v>202</v>
      </c>
      <c r="B47" s="95"/>
      <c r="C47" s="28">
        <f>AVERAGE(C5:C45)</f>
        <v>64.634146341463421</v>
      </c>
      <c r="D47" s="28">
        <f t="shared" ref="D47:E47" si="2">AVERAGE(D5:D45)</f>
        <v>76.951219512195124</v>
      </c>
      <c r="E47" s="28">
        <f t="shared" si="2"/>
        <v>0.35673635307781654</v>
      </c>
      <c r="F47" s="26" t="s">
        <v>210</v>
      </c>
    </row>
  </sheetData>
  <mergeCells count="8">
    <mergeCell ref="A47:B47"/>
    <mergeCell ref="A46:B46"/>
    <mergeCell ref="A1:F1"/>
    <mergeCell ref="A2:A4"/>
    <mergeCell ref="B2:B4"/>
    <mergeCell ref="C2:D3"/>
    <mergeCell ref="E2:E4"/>
    <mergeCell ref="F2:F4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1AF1-ABCD-4881-8FD6-27BDED85F386}">
  <dimension ref="A1:B42"/>
  <sheetViews>
    <sheetView workbookViewId="0">
      <selection activeCell="F32" sqref="F32"/>
    </sheetView>
  </sheetViews>
  <sheetFormatPr defaultRowHeight="14.5" x14ac:dyDescent="0.35"/>
  <sheetData>
    <row r="1" spans="1:2" x14ac:dyDescent="0.35">
      <c r="A1">
        <v>1</v>
      </c>
      <c r="B1">
        <v>2</v>
      </c>
    </row>
    <row r="2" spans="1:2" x14ac:dyDescent="0.35">
      <c r="A2">
        <v>1</v>
      </c>
      <c r="B2">
        <v>2</v>
      </c>
    </row>
    <row r="3" spans="1:2" x14ac:dyDescent="0.35">
      <c r="A3">
        <v>1</v>
      </c>
      <c r="B3">
        <v>2</v>
      </c>
    </row>
    <row r="4" spans="1:2" x14ac:dyDescent="0.35">
      <c r="A4">
        <v>1</v>
      </c>
      <c r="B4">
        <v>2</v>
      </c>
    </row>
    <row r="5" spans="1:2" x14ac:dyDescent="0.35">
      <c r="A5">
        <v>1</v>
      </c>
      <c r="B5">
        <v>2</v>
      </c>
    </row>
    <row r="6" spans="1:2" x14ac:dyDescent="0.35">
      <c r="A6">
        <v>1</v>
      </c>
      <c r="B6">
        <v>2</v>
      </c>
    </row>
    <row r="7" spans="1:2" x14ac:dyDescent="0.35">
      <c r="A7">
        <v>1</v>
      </c>
      <c r="B7">
        <v>2</v>
      </c>
    </row>
    <row r="8" spans="1:2" x14ac:dyDescent="0.35">
      <c r="A8">
        <v>1</v>
      </c>
      <c r="B8">
        <v>2</v>
      </c>
    </row>
    <row r="9" spans="1:2" x14ac:dyDescent="0.35">
      <c r="A9">
        <v>1</v>
      </c>
      <c r="B9">
        <v>2</v>
      </c>
    </row>
    <row r="10" spans="1:2" x14ac:dyDescent="0.35">
      <c r="A10">
        <v>1</v>
      </c>
      <c r="B10">
        <v>2</v>
      </c>
    </row>
    <row r="11" spans="1:2" x14ac:dyDescent="0.35">
      <c r="A11">
        <v>1</v>
      </c>
      <c r="B11">
        <v>2</v>
      </c>
    </row>
    <row r="12" spans="1:2" x14ac:dyDescent="0.35">
      <c r="A12">
        <v>1</v>
      </c>
      <c r="B12">
        <v>2</v>
      </c>
    </row>
    <row r="13" spans="1:2" x14ac:dyDescent="0.35">
      <c r="A13">
        <v>1</v>
      </c>
      <c r="B13">
        <v>2</v>
      </c>
    </row>
    <row r="14" spans="1:2" x14ac:dyDescent="0.35">
      <c r="A14">
        <v>1</v>
      </c>
      <c r="B14">
        <v>2</v>
      </c>
    </row>
    <row r="15" spans="1:2" x14ac:dyDescent="0.35">
      <c r="A15">
        <v>1</v>
      </c>
      <c r="B15">
        <v>2</v>
      </c>
    </row>
    <row r="16" spans="1:2" x14ac:dyDescent="0.35">
      <c r="A16">
        <v>1</v>
      </c>
      <c r="B16">
        <v>2</v>
      </c>
    </row>
    <row r="17" spans="1:2" x14ac:dyDescent="0.35">
      <c r="A17">
        <v>1</v>
      </c>
      <c r="B17">
        <v>2</v>
      </c>
    </row>
    <row r="18" spans="1:2" x14ac:dyDescent="0.35">
      <c r="A18">
        <v>1</v>
      </c>
      <c r="B18">
        <v>2</v>
      </c>
    </row>
    <row r="19" spans="1:2" x14ac:dyDescent="0.35">
      <c r="A19">
        <v>1</v>
      </c>
      <c r="B19">
        <v>2</v>
      </c>
    </row>
    <row r="20" spans="1:2" x14ac:dyDescent="0.35">
      <c r="A20">
        <v>1</v>
      </c>
      <c r="B20">
        <v>2</v>
      </c>
    </row>
    <row r="21" spans="1:2" x14ac:dyDescent="0.35">
      <c r="A21">
        <v>1</v>
      </c>
      <c r="B21">
        <v>2</v>
      </c>
    </row>
    <row r="22" spans="1:2" x14ac:dyDescent="0.35">
      <c r="A22">
        <v>1</v>
      </c>
      <c r="B22">
        <v>2</v>
      </c>
    </row>
    <row r="23" spans="1:2" x14ac:dyDescent="0.35">
      <c r="A23">
        <v>1</v>
      </c>
      <c r="B23">
        <v>2</v>
      </c>
    </row>
    <row r="24" spans="1:2" x14ac:dyDescent="0.35">
      <c r="A24">
        <v>1</v>
      </c>
      <c r="B24">
        <v>2</v>
      </c>
    </row>
    <row r="25" spans="1:2" x14ac:dyDescent="0.35">
      <c r="A25">
        <v>1</v>
      </c>
      <c r="B25">
        <v>2</v>
      </c>
    </row>
    <row r="26" spans="1:2" x14ac:dyDescent="0.35">
      <c r="A26">
        <v>1</v>
      </c>
      <c r="B26">
        <v>2</v>
      </c>
    </row>
    <row r="27" spans="1:2" x14ac:dyDescent="0.35">
      <c r="A27">
        <v>1</v>
      </c>
      <c r="B27">
        <v>2</v>
      </c>
    </row>
    <row r="28" spans="1:2" x14ac:dyDescent="0.35">
      <c r="A28">
        <v>1</v>
      </c>
      <c r="B28">
        <v>2</v>
      </c>
    </row>
    <row r="29" spans="1:2" x14ac:dyDescent="0.35">
      <c r="A29">
        <v>1</v>
      </c>
      <c r="B29">
        <v>2</v>
      </c>
    </row>
    <row r="30" spans="1:2" x14ac:dyDescent="0.35">
      <c r="A30">
        <v>1</v>
      </c>
      <c r="B30">
        <v>2</v>
      </c>
    </row>
    <row r="31" spans="1:2" x14ac:dyDescent="0.35">
      <c r="A31">
        <v>1</v>
      </c>
      <c r="B31">
        <v>2</v>
      </c>
    </row>
    <row r="32" spans="1:2" x14ac:dyDescent="0.35">
      <c r="A32">
        <v>1</v>
      </c>
      <c r="B32">
        <v>2</v>
      </c>
    </row>
    <row r="33" spans="1:2" x14ac:dyDescent="0.35">
      <c r="A33">
        <v>1</v>
      </c>
      <c r="B33">
        <v>2</v>
      </c>
    </row>
    <row r="34" spans="1:2" x14ac:dyDescent="0.35">
      <c r="A34">
        <v>1</v>
      </c>
      <c r="B34">
        <v>2</v>
      </c>
    </row>
    <row r="35" spans="1:2" x14ac:dyDescent="0.35">
      <c r="A35">
        <v>1</v>
      </c>
      <c r="B35">
        <v>2</v>
      </c>
    </row>
    <row r="36" spans="1:2" x14ac:dyDescent="0.35">
      <c r="A36">
        <v>1</v>
      </c>
      <c r="B36">
        <v>2</v>
      </c>
    </row>
    <row r="37" spans="1:2" x14ac:dyDescent="0.35">
      <c r="A37">
        <v>1</v>
      </c>
      <c r="B37">
        <v>2</v>
      </c>
    </row>
    <row r="38" spans="1:2" x14ac:dyDescent="0.35">
      <c r="A38">
        <v>1</v>
      </c>
      <c r="B38">
        <v>2</v>
      </c>
    </row>
    <row r="39" spans="1:2" x14ac:dyDescent="0.35">
      <c r="A39">
        <v>1</v>
      </c>
      <c r="B39">
        <v>2</v>
      </c>
    </row>
    <row r="40" spans="1:2" x14ac:dyDescent="0.35">
      <c r="A40">
        <v>1</v>
      </c>
      <c r="B40">
        <v>2</v>
      </c>
    </row>
    <row r="41" spans="1:2" x14ac:dyDescent="0.35">
      <c r="A41">
        <v>1</v>
      </c>
      <c r="B41">
        <v>2</v>
      </c>
    </row>
    <row r="42" spans="1:2" x14ac:dyDescent="0.35">
      <c r="A42">
        <v>1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5F975-FEEF-4E90-8376-447751D7EE21}">
  <dimension ref="A1:J45"/>
  <sheetViews>
    <sheetView workbookViewId="0">
      <selection activeCell="D4" sqref="D4:D45"/>
    </sheetView>
  </sheetViews>
  <sheetFormatPr defaultRowHeight="14.5" x14ac:dyDescent="0.35"/>
  <cols>
    <col min="2" max="2" width="11.1796875" customWidth="1"/>
    <col min="3" max="3" width="15.81640625" customWidth="1"/>
    <col min="4" max="4" width="11.81640625" customWidth="1"/>
    <col min="5" max="5" width="15.7265625" customWidth="1"/>
    <col min="7" max="7" width="10.7265625" customWidth="1"/>
    <col min="8" max="8" width="12.7265625" customWidth="1"/>
    <col min="9" max="9" width="11.81640625" customWidth="1"/>
    <col min="10" max="10" width="12.453125" customWidth="1"/>
  </cols>
  <sheetData>
    <row r="1" spans="1:10" x14ac:dyDescent="0.35">
      <c r="A1" s="97" t="s">
        <v>224</v>
      </c>
      <c r="B1" s="97"/>
      <c r="C1" s="97"/>
      <c r="D1" s="97"/>
      <c r="E1" s="97"/>
      <c r="F1" s="102" t="s">
        <v>222</v>
      </c>
      <c r="G1" s="103"/>
      <c r="H1" s="103"/>
      <c r="I1" s="103"/>
      <c r="J1" s="103"/>
    </row>
    <row r="2" spans="1:10" x14ac:dyDescent="0.35">
      <c r="A2" s="98" t="s">
        <v>219</v>
      </c>
      <c r="B2" s="89" t="s">
        <v>49</v>
      </c>
      <c r="C2" s="90"/>
      <c r="D2" s="98" t="s">
        <v>223</v>
      </c>
      <c r="E2" s="100" t="s">
        <v>199</v>
      </c>
      <c r="F2" s="98" t="s">
        <v>219</v>
      </c>
      <c r="G2" s="89" t="s">
        <v>49</v>
      </c>
      <c r="H2" s="90"/>
      <c r="I2" s="98" t="s">
        <v>223</v>
      </c>
      <c r="J2" s="98" t="s">
        <v>199</v>
      </c>
    </row>
    <row r="3" spans="1:10" x14ac:dyDescent="0.35">
      <c r="A3" s="99"/>
      <c r="B3" s="4" t="s">
        <v>220</v>
      </c>
      <c r="C3" s="4" t="s">
        <v>221</v>
      </c>
      <c r="D3" s="99"/>
      <c r="E3" s="101"/>
      <c r="F3" s="99"/>
      <c r="G3" s="4" t="s">
        <v>220</v>
      </c>
      <c r="H3" s="4" t="s">
        <v>221</v>
      </c>
      <c r="I3" s="99"/>
      <c r="J3" s="99"/>
    </row>
    <row r="4" spans="1:10" x14ac:dyDescent="0.35">
      <c r="A4" s="4">
        <v>1</v>
      </c>
      <c r="B4" s="4">
        <v>80</v>
      </c>
      <c r="C4" s="4">
        <v>95</v>
      </c>
      <c r="D4" s="2" t="s">
        <v>225</v>
      </c>
      <c r="E4" s="44"/>
      <c r="F4" s="4">
        <v>1</v>
      </c>
      <c r="G4" s="2"/>
      <c r="H4" s="2"/>
      <c r="I4" s="2"/>
      <c r="J4" s="2"/>
    </row>
    <row r="5" spans="1:10" x14ac:dyDescent="0.35">
      <c r="A5" s="4">
        <v>2</v>
      </c>
      <c r="B5" s="4">
        <v>80</v>
      </c>
      <c r="C5" s="4">
        <v>95</v>
      </c>
      <c r="D5" s="2" t="s">
        <v>225</v>
      </c>
      <c r="E5" s="44"/>
      <c r="F5" s="4">
        <v>2</v>
      </c>
      <c r="G5" s="2"/>
      <c r="H5" s="2"/>
      <c r="I5" s="2"/>
      <c r="J5" s="2"/>
    </row>
    <row r="6" spans="1:10" x14ac:dyDescent="0.35">
      <c r="A6" s="4">
        <v>3</v>
      </c>
      <c r="B6" s="4">
        <v>75</v>
      </c>
      <c r="C6" s="4">
        <v>95</v>
      </c>
      <c r="D6" s="2" t="s">
        <v>226</v>
      </c>
      <c r="E6" s="44"/>
      <c r="F6" s="4">
        <v>3</v>
      </c>
      <c r="G6" s="2"/>
      <c r="H6" s="2"/>
      <c r="I6" s="2"/>
      <c r="J6" s="2"/>
    </row>
    <row r="7" spans="1:10" x14ac:dyDescent="0.35">
      <c r="A7" s="4">
        <v>4</v>
      </c>
      <c r="B7" s="4">
        <v>75</v>
      </c>
      <c r="C7" s="4">
        <v>90</v>
      </c>
      <c r="D7" s="2" t="s">
        <v>227</v>
      </c>
      <c r="E7" s="44"/>
      <c r="F7" s="4">
        <v>4</v>
      </c>
      <c r="G7" s="2"/>
      <c r="H7" s="2"/>
      <c r="I7" s="2"/>
      <c r="J7" s="2"/>
    </row>
    <row r="8" spans="1:10" x14ac:dyDescent="0.35">
      <c r="A8" s="4">
        <v>5</v>
      </c>
      <c r="B8" s="4">
        <v>70</v>
      </c>
      <c r="C8" s="4">
        <v>90</v>
      </c>
      <c r="D8" s="2" t="s">
        <v>228</v>
      </c>
      <c r="E8" s="44"/>
      <c r="F8" s="4">
        <v>5</v>
      </c>
      <c r="G8" s="2"/>
      <c r="H8" s="2"/>
      <c r="I8" s="2"/>
      <c r="J8" s="2"/>
    </row>
    <row r="9" spans="1:10" x14ac:dyDescent="0.35">
      <c r="A9" s="4">
        <v>6</v>
      </c>
      <c r="B9" s="4">
        <v>60</v>
      </c>
      <c r="C9" s="4">
        <v>95</v>
      </c>
      <c r="D9" s="2" t="s">
        <v>229</v>
      </c>
      <c r="E9" s="44"/>
      <c r="F9" s="4">
        <v>6</v>
      </c>
      <c r="G9" s="2"/>
      <c r="H9" s="2"/>
      <c r="I9" s="2"/>
      <c r="J9" s="2"/>
    </row>
    <row r="10" spans="1:10" x14ac:dyDescent="0.35">
      <c r="A10" s="4">
        <v>7</v>
      </c>
      <c r="B10" s="4">
        <v>65</v>
      </c>
      <c r="C10" s="4">
        <v>95</v>
      </c>
      <c r="D10" s="2" t="s">
        <v>230</v>
      </c>
      <c r="E10" s="44"/>
      <c r="F10" s="4">
        <v>7</v>
      </c>
      <c r="G10" s="2"/>
      <c r="H10" s="2"/>
      <c r="I10" s="2"/>
      <c r="J10" s="2"/>
    </row>
    <row r="11" spans="1:10" x14ac:dyDescent="0.35">
      <c r="A11" s="4">
        <v>8</v>
      </c>
      <c r="B11" s="4">
        <v>70</v>
      </c>
      <c r="C11" s="4">
        <v>90</v>
      </c>
      <c r="D11" s="2" t="s">
        <v>228</v>
      </c>
      <c r="E11" s="44"/>
      <c r="F11" s="4">
        <v>8</v>
      </c>
      <c r="G11" s="2"/>
      <c r="H11" s="2"/>
      <c r="I11" s="2"/>
      <c r="J11" s="2"/>
    </row>
    <row r="12" spans="1:10" x14ac:dyDescent="0.35">
      <c r="A12" s="4">
        <v>9</v>
      </c>
      <c r="B12" s="4">
        <v>75</v>
      </c>
      <c r="C12" s="4">
        <v>95</v>
      </c>
      <c r="D12" s="2" t="s">
        <v>226</v>
      </c>
      <c r="E12" s="44"/>
      <c r="F12" s="4">
        <v>9</v>
      </c>
      <c r="G12" s="2"/>
      <c r="H12" s="2"/>
      <c r="I12" s="2"/>
      <c r="J12" s="2"/>
    </row>
    <row r="13" spans="1:10" x14ac:dyDescent="0.35">
      <c r="A13" s="4">
        <v>10</v>
      </c>
      <c r="B13" s="4">
        <v>60</v>
      </c>
      <c r="C13" s="4">
        <v>95</v>
      </c>
      <c r="D13" s="2" t="s">
        <v>229</v>
      </c>
      <c r="E13" s="44"/>
      <c r="F13" s="4">
        <v>10</v>
      </c>
      <c r="G13" s="2"/>
      <c r="H13" s="2"/>
      <c r="I13" s="2"/>
      <c r="J13" s="2"/>
    </row>
    <row r="14" spans="1:10" x14ac:dyDescent="0.35">
      <c r="A14" s="4">
        <v>11</v>
      </c>
      <c r="B14" s="4">
        <v>65</v>
      </c>
      <c r="C14" s="4">
        <v>95</v>
      </c>
      <c r="D14" s="2" t="s">
        <v>230</v>
      </c>
      <c r="E14" s="44"/>
      <c r="F14" s="4">
        <v>11</v>
      </c>
      <c r="G14" s="2"/>
      <c r="H14" s="2"/>
      <c r="I14" s="2"/>
      <c r="J14" s="2"/>
    </row>
    <row r="15" spans="1:10" x14ac:dyDescent="0.35">
      <c r="A15" s="4">
        <v>12</v>
      </c>
      <c r="B15" s="4">
        <v>70</v>
      </c>
      <c r="C15" s="4">
        <v>95</v>
      </c>
      <c r="D15" s="2" t="s">
        <v>231</v>
      </c>
      <c r="E15" s="44"/>
      <c r="F15" s="4">
        <v>12</v>
      </c>
      <c r="G15" s="2"/>
      <c r="H15" s="2"/>
      <c r="I15" s="2"/>
      <c r="J15" s="2"/>
    </row>
    <row r="16" spans="1:10" x14ac:dyDescent="0.35">
      <c r="A16" s="4">
        <v>13</v>
      </c>
      <c r="B16" s="4">
        <v>70</v>
      </c>
      <c r="C16" s="4">
        <v>95</v>
      </c>
      <c r="D16" s="2" t="s">
        <v>231</v>
      </c>
      <c r="E16" s="44"/>
      <c r="F16" s="4">
        <v>13</v>
      </c>
      <c r="G16" s="2"/>
      <c r="H16" s="2"/>
      <c r="I16" s="2"/>
      <c r="J16" s="2"/>
    </row>
    <row r="17" spans="1:10" x14ac:dyDescent="0.35">
      <c r="A17" s="4">
        <v>14</v>
      </c>
      <c r="B17" s="4">
        <v>60</v>
      </c>
      <c r="C17" s="4">
        <v>95</v>
      </c>
      <c r="D17" s="2" t="s">
        <v>229</v>
      </c>
      <c r="E17" s="44"/>
      <c r="F17" s="4">
        <v>14</v>
      </c>
      <c r="G17" s="2"/>
      <c r="H17" s="2"/>
      <c r="I17" s="2"/>
      <c r="J17" s="2"/>
    </row>
    <row r="18" spans="1:10" x14ac:dyDescent="0.35">
      <c r="A18" s="4">
        <v>15</v>
      </c>
      <c r="B18" s="4">
        <v>60</v>
      </c>
      <c r="C18" s="4">
        <v>95</v>
      </c>
      <c r="D18" s="2" t="s">
        <v>229</v>
      </c>
      <c r="E18" s="44"/>
      <c r="F18" s="4">
        <v>15</v>
      </c>
      <c r="G18" s="2"/>
      <c r="H18" s="2"/>
      <c r="I18" s="2"/>
      <c r="J18" s="2"/>
    </row>
    <row r="19" spans="1:10" x14ac:dyDescent="0.35">
      <c r="A19" s="4">
        <v>16</v>
      </c>
      <c r="B19" s="4">
        <v>60</v>
      </c>
      <c r="C19" s="4">
        <v>95</v>
      </c>
      <c r="D19" s="2" t="s">
        <v>229</v>
      </c>
      <c r="E19" s="44"/>
      <c r="F19" s="4">
        <v>16</v>
      </c>
      <c r="G19" s="2"/>
      <c r="H19" s="2"/>
      <c r="I19" s="2"/>
      <c r="J19" s="2"/>
    </row>
    <row r="20" spans="1:10" x14ac:dyDescent="0.35">
      <c r="A20" s="4">
        <v>17</v>
      </c>
      <c r="B20" s="4">
        <v>65</v>
      </c>
      <c r="C20" s="4">
        <v>95</v>
      </c>
      <c r="D20" s="2" t="s">
        <v>230</v>
      </c>
      <c r="E20" s="44"/>
      <c r="F20" s="4">
        <v>17</v>
      </c>
      <c r="G20" s="2"/>
      <c r="H20" s="2"/>
      <c r="I20" s="2"/>
      <c r="J20" s="2"/>
    </row>
    <row r="21" spans="1:10" x14ac:dyDescent="0.35">
      <c r="A21" s="4">
        <v>18</v>
      </c>
      <c r="B21" s="4">
        <v>70</v>
      </c>
      <c r="C21" s="4">
        <v>95</v>
      </c>
      <c r="D21" s="2" t="s">
        <v>231</v>
      </c>
      <c r="E21" s="44"/>
      <c r="F21" s="4">
        <v>18</v>
      </c>
      <c r="G21" s="2"/>
      <c r="H21" s="2"/>
      <c r="I21" s="2"/>
      <c r="J21" s="2"/>
    </row>
    <row r="22" spans="1:10" x14ac:dyDescent="0.35">
      <c r="A22" s="4">
        <v>19</v>
      </c>
      <c r="B22" s="4">
        <v>70</v>
      </c>
      <c r="C22" s="4">
        <v>90</v>
      </c>
      <c r="D22" s="2" t="s">
        <v>228</v>
      </c>
      <c r="E22" s="44"/>
      <c r="F22" s="4">
        <v>19</v>
      </c>
      <c r="G22" s="2"/>
      <c r="H22" s="2"/>
      <c r="I22" s="2"/>
      <c r="J22" s="2"/>
    </row>
    <row r="23" spans="1:10" x14ac:dyDescent="0.35">
      <c r="A23" s="4">
        <v>20</v>
      </c>
      <c r="B23" s="4">
        <v>70</v>
      </c>
      <c r="C23" s="4">
        <v>85</v>
      </c>
      <c r="D23" s="2" t="s">
        <v>232</v>
      </c>
      <c r="E23" s="44"/>
      <c r="F23" s="4">
        <v>20</v>
      </c>
      <c r="G23" s="2"/>
      <c r="H23" s="2"/>
      <c r="I23" s="2"/>
      <c r="J23" s="2"/>
    </row>
    <row r="24" spans="1:10" x14ac:dyDescent="0.35">
      <c r="A24" s="4">
        <v>21</v>
      </c>
      <c r="B24" s="4">
        <v>70</v>
      </c>
      <c r="C24" s="4">
        <v>95</v>
      </c>
      <c r="D24" s="2" t="s">
        <v>231</v>
      </c>
      <c r="E24" s="44"/>
      <c r="F24" s="4">
        <v>21</v>
      </c>
      <c r="G24" s="2"/>
      <c r="H24" s="2"/>
      <c r="I24" s="2"/>
      <c r="J24" s="2"/>
    </row>
    <row r="25" spans="1:10" x14ac:dyDescent="0.35">
      <c r="A25" s="4">
        <v>22</v>
      </c>
      <c r="B25" s="4">
        <v>70</v>
      </c>
      <c r="C25" s="4">
        <v>95</v>
      </c>
      <c r="D25" s="2" t="s">
        <v>231</v>
      </c>
      <c r="E25" s="44"/>
      <c r="F25" s="4">
        <v>22</v>
      </c>
      <c r="G25" s="2"/>
      <c r="H25" s="2"/>
      <c r="I25" s="2"/>
      <c r="J25" s="2"/>
    </row>
    <row r="26" spans="1:10" x14ac:dyDescent="0.35">
      <c r="A26" s="4">
        <v>23</v>
      </c>
      <c r="B26" s="4">
        <v>75</v>
      </c>
      <c r="C26" s="4">
        <v>95</v>
      </c>
      <c r="D26" s="2" t="s">
        <v>226</v>
      </c>
      <c r="E26" s="44"/>
      <c r="F26" s="4">
        <v>23</v>
      </c>
      <c r="G26" s="2"/>
      <c r="H26" s="2"/>
      <c r="I26" s="2"/>
      <c r="J26" s="2"/>
    </row>
    <row r="27" spans="1:10" x14ac:dyDescent="0.35">
      <c r="A27" s="4">
        <v>24</v>
      </c>
      <c r="B27" s="4">
        <v>70</v>
      </c>
      <c r="C27" s="4">
        <v>90</v>
      </c>
      <c r="D27" s="2" t="s">
        <v>228</v>
      </c>
      <c r="E27" s="44"/>
      <c r="F27" s="4">
        <v>24</v>
      </c>
      <c r="G27" s="2"/>
      <c r="H27" s="2"/>
      <c r="I27" s="2"/>
      <c r="J27" s="2"/>
    </row>
    <row r="28" spans="1:10" x14ac:dyDescent="0.35">
      <c r="A28" s="4">
        <v>25</v>
      </c>
      <c r="B28" s="4">
        <v>75</v>
      </c>
      <c r="C28" s="4">
        <v>90</v>
      </c>
      <c r="D28" s="2" t="s">
        <v>227</v>
      </c>
      <c r="E28" s="44"/>
      <c r="F28" s="4">
        <v>25</v>
      </c>
      <c r="G28" s="2"/>
      <c r="H28" s="2"/>
      <c r="I28" s="2"/>
      <c r="J28" s="2"/>
    </row>
    <row r="29" spans="1:10" x14ac:dyDescent="0.35">
      <c r="A29" s="4">
        <v>26</v>
      </c>
      <c r="B29" s="4">
        <v>70</v>
      </c>
      <c r="C29" s="4">
        <v>90</v>
      </c>
      <c r="D29" s="2" t="s">
        <v>228</v>
      </c>
      <c r="E29" s="44"/>
      <c r="F29" s="4">
        <v>26</v>
      </c>
      <c r="G29" s="2"/>
      <c r="H29" s="2"/>
      <c r="I29" s="2"/>
      <c r="J29" s="2"/>
    </row>
    <row r="30" spans="1:10" x14ac:dyDescent="0.35">
      <c r="A30" s="4">
        <v>27</v>
      </c>
      <c r="B30" s="4">
        <v>70</v>
      </c>
      <c r="C30" s="4">
        <v>95</v>
      </c>
      <c r="D30" s="2" t="s">
        <v>231</v>
      </c>
      <c r="E30" s="44"/>
      <c r="F30" s="4">
        <v>27</v>
      </c>
      <c r="G30" s="2"/>
      <c r="H30" s="2"/>
      <c r="I30" s="2"/>
      <c r="J30" s="2"/>
    </row>
    <row r="31" spans="1:10" x14ac:dyDescent="0.35">
      <c r="A31" s="4">
        <v>28</v>
      </c>
      <c r="B31" s="4">
        <v>75</v>
      </c>
      <c r="C31" s="4">
        <v>85</v>
      </c>
      <c r="D31" s="2" t="s">
        <v>233</v>
      </c>
      <c r="E31" s="44"/>
      <c r="F31" s="4">
        <v>28</v>
      </c>
      <c r="G31" s="2"/>
      <c r="H31" s="2"/>
      <c r="I31" s="2"/>
      <c r="J31" s="2"/>
    </row>
    <row r="32" spans="1:10" x14ac:dyDescent="0.35">
      <c r="A32" s="4">
        <v>29</v>
      </c>
      <c r="B32" s="4">
        <v>70</v>
      </c>
      <c r="C32" s="4">
        <v>80</v>
      </c>
      <c r="D32" s="2" t="s">
        <v>234</v>
      </c>
      <c r="E32" s="44"/>
      <c r="F32" s="4">
        <v>29</v>
      </c>
      <c r="G32" s="2"/>
      <c r="H32" s="2"/>
      <c r="I32" s="2"/>
      <c r="J32" s="2"/>
    </row>
    <row r="33" spans="1:10" x14ac:dyDescent="0.35">
      <c r="A33" s="4">
        <v>30</v>
      </c>
      <c r="B33" s="4">
        <v>65</v>
      </c>
      <c r="C33" s="4">
        <v>90</v>
      </c>
      <c r="D33" s="2" t="s">
        <v>235</v>
      </c>
      <c r="E33" s="44"/>
      <c r="F33" s="4">
        <v>30</v>
      </c>
      <c r="G33" s="2"/>
      <c r="H33" s="2"/>
      <c r="I33" s="2"/>
      <c r="J33" s="2"/>
    </row>
    <row r="34" spans="1:10" x14ac:dyDescent="0.35">
      <c r="A34" s="4">
        <v>31</v>
      </c>
      <c r="B34" s="4">
        <v>70</v>
      </c>
      <c r="C34" s="4">
        <v>90</v>
      </c>
      <c r="D34" s="2" t="s">
        <v>228</v>
      </c>
      <c r="E34" s="44"/>
      <c r="F34" s="4">
        <v>31</v>
      </c>
      <c r="G34" s="2"/>
      <c r="H34" s="2"/>
      <c r="I34" s="2"/>
      <c r="J34" s="2"/>
    </row>
    <row r="35" spans="1:10" x14ac:dyDescent="0.35">
      <c r="A35" s="4">
        <v>32</v>
      </c>
      <c r="B35" s="4">
        <v>65</v>
      </c>
      <c r="C35" s="4">
        <v>90</v>
      </c>
      <c r="D35" s="2" t="s">
        <v>235</v>
      </c>
      <c r="E35" s="44"/>
      <c r="F35" s="4">
        <v>32</v>
      </c>
      <c r="G35" s="2"/>
      <c r="H35" s="2"/>
      <c r="I35" s="2"/>
      <c r="J35" s="2"/>
    </row>
    <row r="36" spans="1:10" x14ac:dyDescent="0.35">
      <c r="A36" s="4">
        <v>33</v>
      </c>
      <c r="B36" s="4">
        <v>70</v>
      </c>
      <c r="C36" s="4">
        <v>95</v>
      </c>
      <c r="D36" s="2" t="s">
        <v>231</v>
      </c>
      <c r="E36" s="44"/>
      <c r="F36" s="4">
        <v>33</v>
      </c>
      <c r="G36" s="2"/>
      <c r="H36" s="2"/>
      <c r="I36" s="2"/>
      <c r="J36" s="2"/>
    </row>
    <row r="37" spans="1:10" x14ac:dyDescent="0.35">
      <c r="A37" s="4">
        <v>34</v>
      </c>
      <c r="B37" s="4">
        <v>60</v>
      </c>
      <c r="C37" s="4">
        <v>85</v>
      </c>
      <c r="D37" s="2" t="s">
        <v>236</v>
      </c>
      <c r="E37" s="44"/>
      <c r="F37" s="4">
        <v>34</v>
      </c>
      <c r="G37" s="2"/>
      <c r="H37" s="2"/>
      <c r="I37" s="2"/>
      <c r="J37" s="2"/>
    </row>
    <row r="38" spans="1:10" x14ac:dyDescent="0.35">
      <c r="A38" s="4">
        <v>35</v>
      </c>
      <c r="B38" s="4">
        <v>70</v>
      </c>
      <c r="C38" s="4">
        <v>90</v>
      </c>
      <c r="D38" s="2" t="s">
        <v>228</v>
      </c>
      <c r="E38" s="44"/>
      <c r="F38" s="4">
        <v>35</v>
      </c>
      <c r="G38" s="2"/>
      <c r="H38" s="2"/>
      <c r="I38" s="2"/>
      <c r="J38" s="2"/>
    </row>
    <row r="39" spans="1:10" x14ac:dyDescent="0.35">
      <c r="A39" s="4">
        <v>36</v>
      </c>
      <c r="B39" s="4">
        <v>60</v>
      </c>
      <c r="C39" s="4">
        <v>90</v>
      </c>
      <c r="D39" s="2" t="s">
        <v>225</v>
      </c>
      <c r="E39" s="44"/>
      <c r="F39" s="4">
        <v>36</v>
      </c>
      <c r="G39" s="2"/>
      <c r="H39" s="2"/>
      <c r="I39" s="2"/>
      <c r="J39" s="2"/>
    </row>
    <row r="40" spans="1:10" x14ac:dyDescent="0.35">
      <c r="A40" s="4">
        <v>37</v>
      </c>
      <c r="B40" s="4">
        <v>75</v>
      </c>
      <c r="C40" s="4">
        <v>95</v>
      </c>
      <c r="D40" s="2" t="s">
        <v>226</v>
      </c>
      <c r="E40" s="44"/>
      <c r="F40" s="4">
        <v>37</v>
      </c>
      <c r="G40" s="2"/>
      <c r="H40" s="2"/>
      <c r="I40" s="2"/>
      <c r="J40" s="2"/>
    </row>
    <row r="41" spans="1:10" x14ac:dyDescent="0.35">
      <c r="A41" s="4">
        <v>38</v>
      </c>
      <c r="B41" s="4">
        <v>80</v>
      </c>
      <c r="C41" s="4">
        <v>95</v>
      </c>
      <c r="D41" s="2" t="s">
        <v>225</v>
      </c>
      <c r="E41" s="44"/>
      <c r="F41" s="4">
        <v>38</v>
      </c>
      <c r="G41" s="2"/>
      <c r="H41" s="2"/>
      <c r="I41" s="2"/>
      <c r="J41" s="2"/>
    </row>
    <row r="42" spans="1:10" x14ac:dyDescent="0.35">
      <c r="A42" s="4">
        <v>39</v>
      </c>
      <c r="B42" s="4">
        <v>70</v>
      </c>
      <c r="C42" s="4">
        <v>90</v>
      </c>
      <c r="D42" s="2" t="s">
        <v>228</v>
      </c>
      <c r="E42" s="44"/>
      <c r="F42" s="4">
        <v>39</v>
      </c>
      <c r="G42" s="2"/>
      <c r="H42" s="2"/>
      <c r="I42" s="2"/>
      <c r="J42" s="2"/>
    </row>
    <row r="43" spans="1:10" x14ac:dyDescent="0.35">
      <c r="A43" s="4">
        <v>40</v>
      </c>
      <c r="B43" s="4">
        <v>70</v>
      </c>
      <c r="C43" s="4">
        <v>95</v>
      </c>
      <c r="D43" s="2" t="s">
        <v>231</v>
      </c>
      <c r="E43" s="44"/>
      <c r="F43" s="4">
        <v>40</v>
      </c>
      <c r="G43" s="2"/>
      <c r="H43" s="2"/>
      <c r="I43" s="2"/>
      <c r="J43" s="2"/>
    </row>
    <row r="44" spans="1:10" x14ac:dyDescent="0.35">
      <c r="A44" s="4">
        <v>41</v>
      </c>
      <c r="B44" s="4">
        <v>70</v>
      </c>
      <c r="C44" s="4">
        <v>95</v>
      </c>
      <c r="D44" s="2" t="s">
        <v>231</v>
      </c>
      <c r="E44" s="44"/>
      <c r="F44" s="4">
        <v>41</v>
      </c>
      <c r="G44" s="2"/>
      <c r="H44" s="2"/>
      <c r="I44" s="2"/>
      <c r="J44" s="2"/>
    </row>
    <row r="45" spans="1:10" x14ac:dyDescent="0.35">
      <c r="A45" s="4">
        <v>42</v>
      </c>
      <c r="B45" s="4">
        <v>70</v>
      </c>
      <c r="C45" s="4">
        <v>90</v>
      </c>
      <c r="D45" s="2" t="s">
        <v>228</v>
      </c>
      <c r="E45" s="2"/>
    </row>
  </sheetData>
  <mergeCells count="10">
    <mergeCell ref="F1:J1"/>
    <mergeCell ref="F2:F3"/>
    <mergeCell ref="G2:H2"/>
    <mergeCell ref="I2:I3"/>
    <mergeCell ref="J2:J3"/>
    <mergeCell ref="A1:E1"/>
    <mergeCell ref="A2:A3"/>
    <mergeCell ref="B2:C2"/>
    <mergeCell ref="D2:D3"/>
    <mergeCell ref="E2:E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09CB8-4F2E-48AC-9F2E-0777B6A32AEE}">
  <dimension ref="A1:I62"/>
  <sheetViews>
    <sheetView topLeftCell="A39" workbookViewId="0">
      <selection activeCell="A46" sqref="A46"/>
    </sheetView>
  </sheetViews>
  <sheetFormatPr defaultRowHeight="14.5" x14ac:dyDescent="0.35"/>
  <cols>
    <col min="1" max="1" width="27.54296875" customWidth="1"/>
    <col min="2" max="2" width="15" customWidth="1"/>
  </cols>
  <sheetData>
    <row r="1" spans="1:9" ht="15.5" x14ac:dyDescent="0.35">
      <c r="A1" s="104" t="s">
        <v>265</v>
      </c>
      <c r="B1" s="105"/>
      <c r="C1" s="105"/>
      <c r="D1" s="105"/>
    </row>
    <row r="3" spans="1:9" x14ac:dyDescent="0.35">
      <c r="A3" s="106" t="s">
        <v>237</v>
      </c>
      <c r="B3" s="107"/>
      <c r="C3" s="107"/>
      <c r="D3" s="107"/>
      <c r="E3" s="107"/>
      <c r="F3" s="107"/>
      <c r="G3" s="107"/>
      <c r="H3" s="107"/>
      <c r="I3" s="45"/>
    </row>
    <row r="4" spans="1:9" x14ac:dyDescent="0.35">
      <c r="A4" s="108" t="s">
        <v>238</v>
      </c>
      <c r="B4" s="109"/>
      <c r="C4" s="112" t="s">
        <v>239</v>
      </c>
      <c r="D4" s="113"/>
      <c r="E4" s="113"/>
      <c r="F4" s="113"/>
      <c r="G4" s="113"/>
      <c r="H4" s="114"/>
      <c r="I4" s="45"/>
    </row>
    <row r="5" spans="1:9" x14ac:dyDescent="0.35">
      <c r="A5" s="108"/>
      <c r="B5" s="109"/>
      <c r="C5" s="115" t="s">
        <v>240</v>
      </c>
      <c r="D5" s="116"/>
      <c r="E5" s="116" t="s">
        <v>241</v>
      </c>
      <c r="F5" s="116"/>
      <c r="G5" s="116" t="s">
        <v>242</v>
      </c>
      <c r="H5" s="117"/>
      <c r="I5" s="45"/>
    </row>
    <row r="6" spans="1:9" ht="15" thickBot="1" x14ac:dyDescent="0.4">
      <c r="A6" s="110"/>
      <c r="B6" s="111"/>
      <c r="C6" s="46" t="s">
        <v>243</v>
      </c>
      <c r="D6" s="47" t="s">
        <v>244</v>
      </c>
      <c r="E6" s="47" t="s">
        <v>243</v>
      </c>
      <c r="F6" s="47" t="s">
        <v>244</v>
      </c>
      <c r="G6" s="47" t="s">
        <v>243</v>
      </c>
      <c r="H6" s="48" t="s">
        <v>244</v>
      </c>
      <c r="I6" s="45"/>
    </row>
    <row r="7" spans="1:9" ht="15" thickTop="1" x14ac:dyDescent="0.35">
      <c r="A7" s="120" t="s">
        <v>245</v>
      </c>
      <c r="B7" s="49" t="s">
        <v>246</v>
      </c>
      <c r="C7" s="50">
        <v>42</v>
      </c>
      <c r="D7" s="51">
        <v>1</v>
      </c>
      <c r="E7" s="52">
        <v>0</v>
      </c>
      <c r="F7" s="51">
        <v>0</v>
      </c>
      <c r="G7" s="52">
        <v>42</v>
      </c>
      <c r="H7" s="53">
        <v>1</v>
      </c>
      <c r="I7" s="45"/>
    </row>
    <row r="8" spans="1:9" ht="15" thickBot="1" x14ac:dyDescent="0.4">
      <c r="A8" s="121"/>
      <c r="B8" s="54" t="s">
        <v>247</v>
      </c>
      <c r="C8" s="55">
        <v>41</v>
      </c>
      <c r="D8" s="56">
        <v>1</v>
      </c>
      <c r="E8" s="57">
        <v>0</v>
      </c>
      <c r="F8" s="56">
        <v>0</v>
      </c>
      <c r="G8" s="57">
        <v>41</v>
      </c>
      <c r="H8" s="58">
        <v>1</v>
      </c>
      <c r="I8" s="45"/>
    </row>
    <row r="9" spans="1:9" ht="15" thickTop="1" x14ac:dyDescent="0.35"/>
    <row r="10" spans="1:9" x14ac:dyDescent="0.35">
      <c r="A10" s="122" t="s">
        <v>248</v>
      </c>
      <c r="B10" s="107"/>
      <c r="C10" s="107"/>
      <c r="D10" s="107"/>
      <c r="E10" s="107"/>
      <c r="F10" s="107"/>
      <c r="G10" s="45"/>
    </row>
    <row r="11" spans="1:9" ht="15" thickBot="1" x14ac:dyDescent="0.4">
      <c r="A11" s="123" t="s">
        <v>238</v>
      </c>
      <c r="B11" s="124"/>
      <c r="C11" s="124"/>
      <c r="D11" s="125"/>
      <c r="E11" s="75" t="s">
        <v>249</v>
      </c>
      <c r="F11" s="76" t="s">
        <v>250</v>
      </c>
      <c r="G11" s="45"/>
    </row>
    <row r="12" spans="1:9" ht="15" thickTop="1" x14ac:dyDescent="0.35">
      <c r="A12" s="120" t="s">
        <v>245</v>
      </c>
      <c r="B12" s="127" t="s">
        <v>246</v>
      </c>
      <c r="C12" s="127" t="s">
        <v>251</v>
      </c>
      <c r="D12" s="129"/>
      <c r="E12" s="59">
        <v>0.7412698412698413</v>
      </c>
      <c r="F12" s="60">
        <v>1.9668416359918169E-2</v>
      </c>
      <c r="G12" s="45"/>
    </row>
    <row r="13" spans="1:9" ht="23" x14ac:dyDescent="0.35">
      <c r="A13" s="126"/>
      <c r="B13" s="128"/>
      <c r="C13" s="118" t="s">
        <v>252</v>
      </c>
      <c r="D13" s="61" t="s">
        <v>253</v>
      </c>
      <c r="E13" s="62">
        <v>0.70154866860729304</v>
      </c>
      <c r="F13" s="63"/>
      <c r="G13" s="45"/>
    </row>
    <row r="14" spans="1:9" ht="23" x14ac:dyDescent="0.35">
      <c r="A14" s="126"/>
      <c r="B14" s="128"/>
      <c r="C14" s="118"/>
      <c r="D14" s="64" t="s">
        <v>254</v>
      </c>
      <c r="E14" s="65">
        <v>0.78099101393238957</v>
      </c>
      <c r="F14" s="66"/>
      <c r="G14" s="45"/>
    </row>
    <row r="15" spans="1:9" x14ac:dyDescent="0.35">
      <c r="A15" s="126"/>
      <c r="B15" s="128"/>
      <c r="C15" s="118" t="s">
        <v>255</v>
      </c>
      <c r="D15" s="119"/>
      <c r="E15" s="65">
        <v>0.75429894179894175</v>
      </c>
      <c r="F15" s="66"/>
      <c r="G15" s="45"/>
    </row>
    <row r="16" spans="1:9" x14ac:dyDescent="0.35">
      <c r="A16" s="126"/>
      <c r="B16" s="128"/>
      <c r="C16" s="118" t="s">
        <v>256</v>
      </c>
      <c r="D16" s="119"/>
      <c r="E16" s="65">
        <v>0.77500000000000002</v>
      </c>
      <c r="F16" s="66"/>
      <c r="G16" s="45"/>
    </row>
    <row r="17" spans="1:7" x14ac:dyDescent="0.35">
      <c r="A17" s="126"/>
      <c r="B17" s="128"/>
      <c r="C17" s="118" t="s">
        <v>257</v>
      </c>
      <c r="D17" s="119"/>
      <c r="E17" s="67">
        <v>1.6247557288498062E-2</v>
      </c>
      <c r="F17" s="66"/>
      <c r="G17" s="45"/>
    </row>
    <row r="18" spans="1:7" x14ac:dyDescent="0.35">
      <c r="A18" s="126"/>
      <c r="B18" s="128"/>
      <c r="C18" s="118" t="s">
        <v>258</v>
      </c>
      <c r="D18" s="119"/>
      <c r="E18" s="68">
        <v>0.12746590637695265</v>
      </c>
      <c r="F18" s="66"/>
      <c r="G18" s="45"/>
    </row>
    <row r="19" spans="1:7" x14ac:dyDescent="0.35">
      <c r="A19" s="126"/>
      <c r="B19" s="128"/>
      <c r="C19" s="118" t="s">
        <v>259</v>
      </c>
      <c r="D19" s="119"/>
      <c r="E19" s="69">
        <v>0.33333333333333331</v>
      </c>
      <c r="F19" s="66"/>
      <c r="G19" s="45"/>
    </row>
    <row r="20" spans="1:7" x14ac:dyDescent="0.35">
      <c r="A20" s="126"/>
      <c r="B20" s="128"/>
      <c r="C20" s="118" t="s">
        <v>260</v>
      </c>
      <c r="D20" s="119"/>
      <c r="E20" s="69">
        <v>0.875</v>
      </c>
      <c r="F20" s="66"/>
      <c r="G20" s="45"/>
    </row>
    <row r="21" spans="1:7" x14ac:dyDescent="0.35">
      <c r="A21" s="126"/>
      <c r="B21" s="128"/>
      <c r="C21" s="118" t="s">
        <v>261</v>
      </c>
      <c r="D21" s="119"/>
      <c r="E21" s="69">
        <v>0.54166666666666674</v>
      </c>
      <c r="F21" s="66"/>
      <c r="G21" s="45"/>
    </row>
    <row r="22" spans="1:7" x14ac:dyDescent="0.35">
      <c r="A22" s="126"/>
      <c r="B22" s="128"/>
      <c r="C22" s="118" t="s">
        <v>262</v>
      </c>
      <c r="D22" s="119"/>
      <c r="E22" s="69">
        <v>0.16666666666666674</v>
      </c>
      <c r="F22" s="66"/>
      <c r="G22" s="45"/>
    </row>
    <row r="23" spans="1:7" x14ac:dyDescent="0.35">
      <c r="A23" s="126"/>
      <c r="B23" s="128"/>
      <c r="C23" s="118" t="s">
        <v>263</v>
      </c>
      <c r="D23" s="119"/>
      <c r="E23" s="70">
        <v>-1.3380073927685407</v>
      </c>
      <c r="F23" s="71">
        <v>0.36536060555706229</v>
      </c>
      <c r="G23" s="45"/>
    </row>
    <row r="24" spans="1:7" x14ac:dyDescent="0.35">
      <c r="A24" s="126"/>
      <c r="B24" s="118"/>
      <c r="C24" s="118" t="s">
        <v>264</v>
      </c>
      <c r="D24" s="119"/>
      <c r="E24" s="70">
        <v>1.9805680443814675</v>
      </c>
      <c r="F24" s="71">
        <v>0.71663272734566863</v>
      </c>
      <c r="G24" s="45"/>
    </row>
    <row r="25" spans="1:7" x14ac:dyDescent="0.35">
      <c r="A25" s="126"/>
      <c r="B25" s="118" t="s">
        <v>247</v>
      </c>
      <c r="C25" s="118" t="s">
        <v>251</v>
      </c>
      <c r="D25" s="119"/>
      <c r="E25" s="65">
        <v>0.29558652729384438</v>
      </c>
      <c r="F25" s="72">
        <v>2.6796205323961597E-2</v>
      </c>
      <c r="G25" s="45"/>
    </row>
    <row r="26" spans="1:7" ht="23" x14ac:dyDescent="0.35">
      <c r="A26" s="126"/>
      <c r="B26" s="128"/>
      <c r="C26" s="118" t="s">
        <v>252</v>
      </c>
      <c r="D26" s="61" t="s">
        <v>253</v>
      </c>
      <c r="E26" s="62">
        <v>0.24142937615999954</v>
      </c>
      <c r="F26" s="63"/>
      <c r="G26" s="45"/>
    </row>
    <row r="27" spans="1:7" ht="23" x14ac:dyDescent="0.35">
      <c r="A27" s="126"/>
      <c r="B27" s="128"/>
      <c r="C27" s="118"/>
      <c r="D27" s="64" t="s">
        <v>254</v>
      </c>
      <c r="E27" s="65">
        <v>0.34974367842768922</v>
      </c>
      <c r="F27" s="66"/>
      <c r="G27" s="45"/>
    </row>
    <row r="28" spans="1:7" x14ac:dyDescent="0.35">
      <c r="A28" s="126"/>
      <c r="B28" s="128"/>
      <c r="C28" s="118" t="s">
        <v>255</v>
      </c>
      <c r="D28" s="119"/>
      <c r="E28" s="65">
        <v>0.27882630016776372</v>
      </c>
      <c r="F28" s="66"/>
      <c r="G28" s="45"/>
    </row>
    <row r="29" spans="1:7" x14ac:dyDescent="0.35">
      <c r="A29" s="126"/>
      <c r="B29" s="128"/>
      <c r="C29" s="118" t="s">
        <v>256</v>
      </c>
      <c r="D29" s="119"/>
      <c r="E29" s="65">
        <v>0.25</v>
      </c>
      <c r="F29" s="66"/>
      <c r="G29" s="45"/>
    </row>
    <row r="30" spans="1:7" x14ac:dyDescent="0.35">
      <c r="A30" s="126"/>
      <c r="B30" s="128"/>
      <c r="C30" s="118" t="s">
        <v>257</v>
      </c>
      <c r="D30" s="119"/>
      <c r="E30" s="67">
        <v>2.9439501410320222E-2</v>
      </c>
      <c r="F30" s="66"/>
      <c r="G30" s="45"/>
    </row>
    <row r="31" spans="1:7" x14ac:dyDescent="0.35">
      <c r="A31" s="126"/>
      <c r="B31" s="128"/>
      <c r="C31" s="118" t="s">
        <v>258</v>
      </c>
      <c r="D31" s="119"/>
      <c r="E31" s="68">
        <v>0.17157943178108565</v>
      </c>
      <c r="F31" s="66"/>
      <c r="G31" s="45"/>
    </row>
    <row r="32" spans="1:7" x14ac:dyDescent="0.35">
      <c r="A32" s="126"/>
      <c r="B32" s="128"/>
      <c r="C32" s="118" t="s">
        <v>259</v>
      </c>
      <c r="D32" s="119"/>
      <c r="E32" s="69">
        <v>0.14285714285714285</v>
      </c>
      <c r="F32" s="66"/>
      <c r="G32" s="45"/>
    </row>
    <row r="33" spans="1:7" x14ac:dyDescent="0.35">
      <c r="A33" s="126"/>
      <c r="B33" s="128"/>
      <c r="C33" s="118" t="s">
        <v>260</v>
      </c>
      <c r="D33" s="119"/>
      <c r="E33" s="69">
        <v>0.75</v>
      </c>
      <c r="F33" s="66"/>
      <c r="G33" s="45"/>
    </row>
    <row r="34" spans="1:7" x14ac:dyDescent="0.35">
      <c r="A34" s="126"/>
      <c r="B34" s="128"/>
      <c r="C34" s="118" t="s">
        <v>261</v>
      </c>
      <c r="D34" s="119"/>
      <c r="E34" s="69">
        <v>0.60714285714285721</v>
      </c>
      <c r="F34" s="66"/>
      <c r="G34" s="45"/>
    </row>
    <row r="35" spans="1:7" x14ac:dyDescent="0.35">
      <c r="A35" s="126"/>
      <c r="B35" s="128"/>
      <c r="C35" s="118" t="s">
        <v>262</v>
      </c>
      <c r="D35" s="119"/>
      <c r="E35" s="69">
        <v>8.5714285714285687E-2</v>
      </c>
      <c r="F35" s="66"/>
      <c r="G35" s="45"/>
    </row>
    <row r="36" spans="1:7" x14ac:dyDescent="0.35">
      <c r="A36" s="126"/>
      <c r="B36" s="128"/>
      <c r="C36" s="118" t="s">
        <v>263</v>
      </c>
      <c r="D36" s="119"/>
      <c r="E36" s="70">
        <v>1.8809328993056045</v>
      </c>
      <c r="F36" s="71">
        <v>0.36949984645482131</v>
      </c>
      <c r="G36" s="45"/>
    </row>
    <row r="37" spans="1:7" ht="15" thickBot="1" x14ac:dyDescent="0.4">
      <c r="A37" s="121"/>
      <c r="B37" s="130"/>
      <c r="C37" s="130" t="s">
        <v>264</v>
      </c>
      <c r="D37" s="132"/>
      <c r="E37" s="73">
        <v>2.5218945602367211</v>
      </c>
      <c r="F37" s="74">
        <v>0.72448297570323894</v>
      </c>
      <c r="G37" s="45"/>
    </row>
    <row r="38" spans="1:7" ht="15" thickTop="1" x14ac:dyDescent="0.35"/>
    <row r="39" spans="1:7" x14ac:dyDescent="0.35">
      <c r="A39" s="45"/>
    </row>
    <row r="40" spans="1:7" ht="15.5" x14ac:dyDescent="0.35">
      <c r="A40" s="133" t="s">
        <v>245</v>
      </c>
      <c r="B40" s="133"/>
      <c r="C40" s="133"/>
    </row>
    <row r="41" spans="1:7" x14ac:dyDescent="0.35">
      <c r="A41" s="77"/>
    </row>
    <row r="42" spans="1:7" ht="15.5" x14ac:dyDescent="0.35">
      <c r="A42" s="134" t="s">
        <v>266</v>
      </c>
      <c r="B42" s="134"/>
      <c r="C42" s="134"/>
    </row>
    <row r="43" spans="1:7" x14ac:dyDescent="0.35">
      <c r="A43" s="45"/>
    </row>
    <row r="44" spans="1:7" x14ac:dyDescent="0.35">
      <c r="A44" s="131" t="s">
        <v>267</v>
      </c>
      <c r="B44" s="131"/>
      <c r="C44" s="131"/>
    </row>
    <row r="45" spans="1:7" x14ac:dyDescent="0.35">
      <c r="A45" s="131" t="s">
        <v>268</v>
      </c>
      <c r="B45" s="131"/>
      <c r="C45" s="131"/>
    </row>
    <row r="46" spans="1:7" x14ac:dyDescent="0.35">
      <c r="A46" s="79"/>
      <c r="B46" s="2"/>
      <c r="C46" s="2"/>
    </row>
    <row r="47" spans="1:7" x14ac:dyDescent="0.35">
      <c r="A47" s="131" t="s">
        <v>269</v>
      </c>
      <c r="B47" s="131"/>
      <c r="C47" s="131"/>
    </row>
    <row r="48" spans="1:7" x14ac:dyDescent="0.35">
      <c r="A48" s="79"/>
      <c r="B48" s="2"/>
      <c r="C48" s="2"/>
    </row>
    <row r="49" spans="1:3" x14ac:dyDescent="0.35">
      <c r="A49" s="131" t="s">
        <v>270</v>
      </c>
      <c r="B49" s="131"/>
      <c r="C49" s="131"/>
    </row>
    <row r="50" spans="1:3" x14ac:dyDescent="0.35">
      <c r="A50" s="78" t="s">
        <v>271</v>
      </c>
    </row>
    <row r="51" spans="1:3" x14ac:dyDescent="0.35">
      <c r="A51" s="78" t="s">
        <v>272</v>
      </c>
    </row>
    <row r="52" spans="1:3" x14ac:dyDescent="0.35">
      <c r="A52" s="78" t="s">
        <v>273</v>
      </c>
    </row>
    <row r="53" spans="1:3" x14ac:dyDescent="0.35">
      <c r="A53" s="78" t="s">
        <v>274</v>
      </c>
    </row>
    <row r="54" spans="1:3" x14ac:dyDescent="0.35">
      <c r="A54" s="78" t="s">
        <v>275</v>
      </c>
    </row>
    <row r="55" spans="1:3" x14ac:dyDescent="0.35">
      <c r="A55" s="78" t="s">
        <v>276</v>
      </c>
    </row>
    <row r="56" spans="1:3" x14ac:dyDescent="0.35">
      <c r="A56" s="78" t="s">
        <v>277</v>
      </c>
    </row>
    <row r="57" spans="1:3" x14ac:dyDescent="0.35">
      <c r="A57" s="78" t="s">
        <v>278</v>
      </c>
    </row>
    <row r="58" spans="1:3" x14ac:dyDescent="0.35">
      <c r="A58" s="45"/>
    </row>
    <row r="59" spans="1:3" x14ac:dyDescent="0.35">
      <c r="A59" s="78" t="s">
        <v>279</v>
      </c>
    </row>
    <row r="60" spans="1:3" x14ac:dyDescent="0.35">
      <c r="A60" s="78" t="s">
        <v>280</v>
      </c>
    </row>
    <row r="61" spans="1:3" x14ac:dyDescent="0.35">
      <c r="A61" s="45"/>
    </row>
    <row r="62" spans="1:3" x14ac:dyDescent="0.35">
      <c r="A62" s="45"/>
    </row>
  </sheetData>
  <mergeCells count="43">
    <mergeCell ref="A45:C45"/>
    <mergeCell ref="A44:C44"/>
    <mergeCell ref="A47:C47"/>
    <mergeCell ref="A49:C49"/>
    <mergeCell ref="C34:D34"/>
    <mergeCell ref="C35:D35"/>
    <mergeCell ref="C36:D36"/>
    <mergeCell ref="C37:D37"/>
    <mergeCell ref="A40:C40"/>
    <mergeCell ref="A42:C42"/>
    <mergeCell ref="C24:D24"/>
    <mergeCell ref="B25:B37"/>
    <mergeCell ref="C25:D25"/>
    <mergeCell ref="C26:C27"/>
    <mergeCell ref="C28:D28"/>
    <mergeCell ref="C29:D29"/>
    <mergeCell ref="C30:D30"/>
    <mergeCell ref="C31:D31"/>
    <mergeCell ref="C32:D32"/>
    <mergeCell ref="C33:D33"/>
    <mergeCell ref="C23:D23"/>
    <mergeCell ref="A7:A8"/>
    <mergeCell ref="A10:F10"/>
    <mergeCell ref="A11:D11"/>
    <mergeCell ref="A12:A37"/>
    <mergeCell ref="B12:B24"/>
    <mergeCell ref="C12:D12"/>
    <mergeCell ref="C13:C14"/>
    <mergeCell ref="C15:D15"/>
    <mergeCell ref="C16:D16"/>
    <mergeCell ref="C17:D17"/>
    <mergeCell ref="C18:D18"/>
    <mergeCell ref="C19:D19"/>
    <mergeCell ref="C20:D20"/>
    <mergeCell ref="C21:D21"/>
    <mergeCell ref="C22:D22"/>
    <mergeCell ref="A1:D1"/>
    <mergeCell ref="A3:H3"/>
    <mergeCell ref="A4:B6"/>
    <mergeCell ref="C4:H4"/>
    <mergeCell ref="C5:D5"/>
    <mergeCell ref="E5:F5"/>
    <mergeCell ref="G5:H5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3D20E-ECBB-46A9-9C56-7B6B7CADE980}">
  <dimension ref="A1:M48"/>
  <sheetViews>
    <sheetView topLeftCell="A10" workbookViewId="0">
      <selection activeCell="E6" sqref="E6"/>
    </sheetView>
  </sheetViews>
  <sheetFormatPr defaultRowHeight="14.5" x14ac:dyDescent="0.35"/>
  <cols>
    <col min="9" max="9" width="11.7265625" customWidth="1"/>
  </cols>
  <sheetData>
    <row r="1" spans="1:13" x14ac:dyDescent="0.35">
      <c r="A1" s="92" t="s">
        <v>194</v>
      </c>
      <c r="B1" s="92"/>
      <c r="C1" s="92"/>
      <c r="D1" s="92"/>
      <c r="E1" s="92"/>
      <c r="F1" s="92"/>
      <c r="H1" s="92" t="s">
        <v>201</v>
      </c>
      <c r="I1" s="92"/>
      <c r="J1" s="92"/>
      <c r="K1" s="92"/>
      <c r="L1" s="92"/>
      <c r="M1" s="92"/>
    </row>
    <row r="2" spans="1:13" x14ac:dyDescent="0.35">
      <c r="A2" s="93" t="s">
        <v>48</v>
      </c>
      <c r="B2" s="93" t="s">
        <v>206</v>
      </c>
      <c r="C2" s="93" t="s">
        <v>49</v>
      </c>
      <c r="D2" s="93"/>
      <c r="E2" s="93" t="s">
        <v>207</v>
      </c>
      <c r="F2" s="93" t="s">
        <v>199</v>
      </c>
      <c r="H2" s="96" t="s">
        <v>48</v>
      </c>
      <c r="I2" s="96" t="s">
        <v>195</v>
      </c>
      <c r="J2" s="96" t="s">
        <v>49</v>
      </c>
      <c r="K2" s="96"/>
      <c r="L2" s="96" t="s">
        <v>198</v>
      </c>
      <c r="M2" s="96" t="s">
        <v>199</v>
      </c>
    </row>
    <row r="3" spans="1:13" x14ac:dyDescent="0.35">
      <c r="A3" s="93"/>
      <c r="B3" s="93"/>
      <c r="C3" s="93"/>
      <c r="D3" s="93"/>
      <c r="E3" s="93"/>
      <c r="F3" s="93"/>
      <c r="H3" s="96"/>
      <c r="I3" s="96"/>
      <c r="J3" s="96"/>
      <c r="K3" s="96"/>
      <c r="L3" s="96"/>
      <c r="M3" s="96"/>
    </row>
    <row r="4" spans="1:13" x14ac:dyDescent="0.35">
      <c r="A4" s="93"/>
      <c r="B4" s="93"/>
      <c r="C4" s="29" t="s">
        <v>196</v>
      </c>
      <c r="D4" s="29" t="s">
        <v>197</v>
      </c>
      <c r="E4" s="93"/>
      <c r="F4" s="93"/>
      <c r="H4" s="96"/>
      <c r="I4" s="96"/>
      <c r="J4" s="32" t="s">
        <v>196</v>
      </c>
      <c r="K4" s="32" t="s">
        <v>197</v>
      </c>
      <c r="L4" s="96"/>
      <c r="M4" s="96"/>
    </row>
    <row r="5" spans="1:13" x14ac:dyDescent="0.35">
      <c r="A5" s="26">
        <v>1</v>
      </c>
      <c r="B5" s="26">
        <v>1</v>
      </c>
      <c r="C5" s="4">
        <v>80</v>
      </c>
      <c r="D5" s="4">
        <v>95</v>
      </c>
      <c r="E5" s="4">
        <f>(D5-C5)/(100-C5)</f>
        <v>0.75</v>
      </c>
      <c r="F5" s="26" t="s">
        <v>208</v>
      </c>
      <c r="H5" s="26">
        <v>1</v>
      </c>
      <c r="I5" s="26">
        <v>1</v>
      </c>
      <c r="J5" s="4">
        <v>80</v>
      </c>
      <c r="K5" s="4">
        <v>95</v>
      </c>
      <c r="L5" s="30">
        <f>(K5-J5)/(100-J5)</f>
        <v>0.75</v>
      </c>
      <c r="M5" s="26" t="s">
        <v>200</v>
      </c>
    </row>
    <row r="6" spans="1:13" x14ac:dyDescent="0.35">
      <c r="A6" s="26">
        <v>2</v>
      </c>
      <c r="B6" s="26">
        <v>2</v>
      </c>
      <c r="C6" s="4">
        <v>80</v>
      </c>
      <c r="D6" s="4">
        <v>95</v>
      </c>
      <c r="E6" s="4">
        <f t="shared" ref="E6:E46" si="0">(D6-C6)/(100-C6)</f>
        <v>0.75</v>
      </c>
      <c r="F6" s="26" t="s">
        <v>208</v>
      </c>
      <c r="H6" s="26">
        <v>2</v>
      </c>
      <c r="I6" s="26">
        <v>2</v>
      </c>
      <c r="J6" s="4">
        <v>85</v>
      </c>
      <c r="K6" s="4">
        <v>95</v>
      </c>
      <c r="L6" s="30">
        <f>(K6-J6)/(100-J6)</f>
        <v>0.66666666666666663</v>
      </c>
      <c r="M6" s="26" t="s">
        <v>208</v>
      </c>
    </row>
    <row r="7" spans="1:13" x14ac:dyDescent="0.35">
      <c r="A7" s="26">
        <v>3</v>
      </c>
      <c r="B7" s="26">
        <v>3</v>
      </c>
      <c r="C7" s="4">
        <v>85</v>
      </c>
      <c r="D7" s="4">
        <v>95</v>
      </c>
      <c r="E7" s="28">
        <f t="shared" si="0"/>
        <v>0.66666666666666663</v>
      </c>
      <c r="F7" s="26" t="s">
        <v>212</v>
      </c>
      <c r="H7" s="26">
        <v>3</v>
      </c>
      <c r="I7" s="26">
        <v>3</v>
      </c>
      <c r="J7" s="4">
        <v>70</v>
      </c>
      <c r="K7" s="4">
        <v>95</v>
      </c>
      <c r="L7" s="30">
        <f t="shared" ref="L7:L45" si="1">(K7-J7)/(100-J7)</f>
        <v>0.83333333333333337</v>
      </c>
      <c r="M7" s="26" t="s">
        <v>211</v>
      </c>
    </row>
    <row r="8" spans="1:13" x14ac:dyDescent="0.35">
      <c r="A8" s="26">
        <v>4</v>
      </c>
      <c r="B8" s="26">
        <v>4</v>
      </c>
      <c r="C8" s="4">
        <v>85</v>
      </c>
      <c r="D8" s="4">
        <v>90</v>
      </c>
      <c r="E8" s="28">
        <f t="shared" si="0"/>
        <v>0.33333333333333331</v>
      </c>
      <c r="F8" s="26" t="s">
        <v>210</v>
      </c>
      <c r="H8" s="26">
        <v>4</v>
      </c>
      <c r="I8" s="26">
        <v>4</v>
      </c>
      <c r="J8" s="4">
        <v>70</v>
      </c>
      <c r="K8" s="4">
        <v>95</v>
      </c>
      <c r="L8" s="30">
        <f t="shared" si="1"/>
        <v>0.83333333333333337</v>
      </c>
      <c r="M8" s="26" t="s">
        <v>200</v>
      </c>
    </row>
    <row r="9" spans="1:13" x14ac:dyDescent="0.35">
      <c r="A9" s="26">
        <v>5</v>
      </c>
      <c r="B9" s="26">
        <v>5</v>
      </c>
      <c r="C9" s="4">
        <v>85</v>
      </c>
      <c r="D9" s="4">
        <v>90</v>
      </c>
      <c r="E9" s="28">
        <f t="shared" si="0"/>
        <v>0.33333333333333331</v>
      </c>
      <c r="F9" s="26" t="s">
        <v>212</v>
      </c>
      <c r="H9" s="26">
        <v>5</v>
      </c>
      <c r="I9" s="26">
        <v>5</v>
      </c>
      <c r="J9" s="4">
        <v>70</v>
      </c>
      <c r="K9" s="4">
        <v>95</v>
      </c>
      <c r="L9" s="30">
        <f t="shared" si="1"/>
        <v>0.83333333333333337</v>
      </c>
      <c r="M9" s="26" t="s">
        <v>200</v>
      </c>
    </row>
    <row r="10" spans="1:13" x14ac:dyDescent="0.35">
      <c r="A10" s="26">
        <v>6</v>
      </c>
      <c r="B10" s="26">
        <v>6</v>
      </c>
      <c r="C10" s="4">
        <v>80</v>
      </c>
      <c r="D10" s="4">
        <v>95</v>
      </c>
      <c r="E10" s="28">
        <f t="shared" si="0"/>
        <v>0.75</v>
      </c>
      <c r="F10" s="26" t="s">
        <v>200</v>
      </c>
      <c r="H10" s="26">
        <v>6</v>
      </c>
      <c r="I10" s="26">
        <v>6</v>
      </c>
      <c r="J10" s="4">
        <v>70</v>
      </c>
      <c r="K10" s="4">
        <v>95</v>
      </c>
      <c r="L10" s="30">
        <f t="shared" si="1"/>
        <v>0.83333333333333337</v>
      </c>
      <c r="M10" s="26" t="s">
        <v>200</v>
      </c>
    </row>
    <row r="11" spans="1:13" x14ac:dyDescent="0.35">
      <c r="A11" s="26">
        <v>7</v>
      </c>
      <c r="B11" s="26">
        <v>7</v>
      </c>
      <c r="C11" s="4">
        <v>85</v>
      </c>
      <c r="D11" s="4">
        <v>95</v>
      </c>
      <c r="E11" s="28">
        <f t="shared" si="0"/>
        <v>0.66666666666666663</v>
      </c>
      <c r="F11" s="26" t="s">
        <v>200</v>
      </c>
      <c r="H11" s="26">
        <v>7</v>
      </c>
      <c r="I11" s="26">
        <v>7</v>
      </c>
      <c r="J11" s="4">
        <v>70</v>
      </c>
      <c r="K11" s="4">
        <v>90</v>
      </c>
      <c r="L11" s="30">
        <f t="shared" si="1"/>
        <v>0.66666666666666663</v>
      </c>
      <c r="M11" s="26" t="s">
        <v>208</v>
      </c>
    </row>
    <row r="12" spans="1:13" x14ac:dyDescent="0.35">
      <c r="A12" s="26">
        <v>8</v>
      </c>
      <c r="B12" s="26">
        <v>8</v>
      </c>
      <c r="C12" s="4">
        <v>85</v>
      </c>
      <c r="D12" s="4">
        <v>90</v>
      </c>
      <c r="E12" s="28">
        <f t="shared" si="0"/>
        <v>0.33333333333333331</v>
      </c>
      <c r="F12" s="26" t="s">
        <v>208</v>
      </c>
      <c r="H12" s="26">
        <v>8</v>
      </c>
      <c r="I12" s="26">
        <v>8</v>
      </c>
      <c r="J12" s="4">
        <v>60</v>
      </c>
      <c r="K12" s="4">
        <v>70</v>
      </c>
      <c r="L12" s="30">
        <f t="shared" si="1"/>
        <v>0.25</v>
      </c>
      <c r="M12" s="26" t="s">
        <v>210</v>
      </c>
    </row>
    <row r="13" spans="1:13" x14ac:dyDescent="0.35">
      <c r="A13" s="26">
        <v>9</v>
      </c>
      <c r="B13" s="26">
        <v>9</v>
      </c>
      <c r="C13" s="4">
        <v>80</v>
      </c>
      <c r="D13" s="4">
        <v>95</v>
      </c>
      <c r="E13" s="4">
        <f t="shared" si="0"/>
        <v>0.75</v>
      </c>
      <c r="F13" s="26" t="s">
        <v>210</v>
      </c>
      <c r="H13" s="26">
        <v>9</v>
      </c>
      <c r="I13" s="26">
        <v>9</v>
      </c>
      <c r="J13" s="4">
        <v>75</v>
      </c>
      <c r="K13" s="4">
        <v>95</v>
      </c>
      <c r="L13" s="30">
        <f t="shared" si="1"/>
        <v>0.8</v>
      </c>
      <c r="M13" s="26" t="s">
        <v>200</v>
      </c>
    </row>
    <row r="14" spans="1:13" x14ac:dyDescent="0.35">
      <c r="A14" s="26">
        <v>10</v>
      </c>
      <c r="B14" s="26">
        <v>10</v>
      </c>
      <c r="C14" s="4">
        <v>80</v>
      </c>
      <c r="D14" s="4">
        <v>95</v>
      </c>
      <c r="E14" s="28">
        <f t="shared" si="0"/>
        <v>0.75</v>
      </c>
      <c r="F14" s="26" t="s">
        <v>200</v>
      </c>
      <c r="H14" s="26">
        <v>10</v>
      </c>
      <c r="I14" s="26">
        <v>10</v>
      </c>
      <c r="J14" s="4">
        <v>70</v>
      </c>
      <c r="K14" s="4">
        <v>95</v>
      </c>
      <c r="L14" s="30">
        <f t="shared" si="1"/>
        <v>0.83333333333333337</v>
      </c>
      <c r="M14" s="26" t="s">
        <v>200</v>
      </c>
    </row>
    <row r="15" spans="1:13" x14ac:dyDescent="0.35">
      <c r="A15" s="26">
        <v>11</v>
      </c>
      <c r="B15" s="26">
        <v>11</v>
      </c>
      <c r="C15" s="4">
        <v>85</v>
      </c>
      <c r="D15" s="4">
        <v>95</v>
      </c>
      <c r="E15" s="28">
        <f t="shared" si="0"/>
        <v>0.66666666666666663</v>
      </c>
      <c r="F15" s="26" t="s">
        <v>200</v>
      </c>
      <c r="H15" s="26">
        <v>11</v>
      </c>
      <c r="I15" s="26">
        <v>11</v>
      </c>
      <c r="J15" s="4">
        <v>80</v>
      </c>
      <c r="K15" s="4">
        <v>90</v>
      </c>
      <c r="L15" s="30">
        <f t="shared" si="1"/>
        <v>0.5</v>
      </c>
      <c r="M15" s="26" t="s">
        <v>209</v>
      </c>
    </row>
    <row r="16" spans="1:13" x14ac:dyDescent="0.35">
      <c r="A16" s="26">
        <v>12</v>
      </c>
      <c r="B16" s="26">
        <v>12</v>
      </c>
      <c r="C16" s="4">
        <v>80</v>
      </c>
      <c r="D16" s="4">
        <v>95</v>
      </c>
      <c r="E16" s="28">
        <f t="shared" si="0"/>
        <v>0.75</v>
      </c>
      <c r="F16" s="26" t="s">
        <v>208</v>
      </c>
      <c r="H16" s="26">
        <v>12</v>
      </c>
      <c r="I16" s="26">
        <v>12</v>
      </c>
      <c r="J16" s="4">
        <v>85</v>
      </c>
      <c r="K16" s="4">
        <v>95</v>
      </c>
      <c r="L16" s="30">
        <f t="shared" si="1"/>
        <v>0.66666666666666663</v>
      </c>
      <c r="M16" s="26" t="s">
        <v>208</v>
      </c>
    </row>
    <row r="17" spans="1:13" x14ac:dyDescent="0.35">
      <c r="A17" s="26">
        <v>13</v>
      </c>
      <c r="B17" s="26">
        <v>13</v>
      </c>
      <c r="C17" s="4">
        <v>85</v>
      </c>
      <c r="D17" s="4">
        <v>95</v>
      </c>
      <c r="E17" s="28">
        <f t="shared" si="0"/>
        <v>0.66666666666666663</v>
      </c>
      <c r="F17" s="26" t="s">
        <v>209</v>
      </c>
      <c r="H17" s="26">
        <v>13</v>
      </c>
      <c r="I17" s="26">
        <v>13</v>
      </c>
      <c r="J17" s="4">
        <v>85</v>
      </c>
      <c r="K17" s="4">
        <v>95</v>
      </c>
      <c r="L17" s="30">
        <f t="shared" si="1"/>
        <v>0.66666666666666663</v>
      </c>
      <c r="M17" s="26" t="s">
        <v>208</v>
      </c>
    </row>
    <row r="18" spans="1:13" x14ac:dyDescent="0.35">
      <c r="A18" s="26">
        <v>14</v>
      </c>
      <c r="B18" s="26">
        <v>14</v>
      </c>
      <c r="C18" s="4">
        <v>85</v>
      </c>
      <c r="D18" s="4">
        <v>95</v>
      </c>
      <c r="E18" s="28">
        <f t="shared" si="0"/>
        <v>0.66666666666666663</v>
      </c>
      <c r="F18" s="26" t="s">
        <v>200</v>
      </c>
      <c r="H18" s="26">
        <v>14</v>
      </c>
      <c r="I18" s="26">
        <v>14</v>
      </c>
      <c r="J18" s="4">
        <v>70</v>
      </c>
      <c r="K18" s="4">
        <v>95</v>
      </c>
      <c r="L18" s="30">
        <f t="shared" si="1"/>
        <v>0.83333333333333337</v>
      </c>
      <c r="M18" s="26" t="s">
        <v>200</v>
      </c>
    </row>
    <row r="19" spans="1:13" x14ac:dyDescent="0.35">
      <c r="A19" s="26">
        <v>15</v>
      </c>
      <c r="B19" s="26">
        <v>15</v>
      </c>
      <c r="C19" s="4">
        <v>85</v>
      </c>
      <c r="D19" s="4">
        <v>95</v>
      </c>
      <c r="E19" s="28">
        <f t="shared" si="0"/>
        <v>0.66666666666666663</v>
      </c>
      <c r="F19" s="26" t="s">
        <v>200</v>
      </c>
      <c r="H19" s="26">
        <v>15</v>
      </c>
      <c r="I19" s="26">
        <v>15</v>
      </c>
      <c r="J19" s="4">
        <v>70</v>
      </c>
      <c r="K19" s="4">
        <v>95</v>
      </c>
      <c r="L19" s="30">
        <f t="shared" si="1"/>
        <v>0.83333333333333337</v>
      </c>
      <c r="M19" s="26" t="s">
        <v>200</v>
      </c>
    </row>
    <row r="20" spans="1:13" x14ac:dyDescent="0.35">
      <c r="A20" s="26">
        <v>16</v>
      </c>
      <c r="B20" s="26">
        <v>16</v>
      </c>
      <c r="C20" s="4">
        <v>90</v>
      </c>
      <c r="D20" s="4">
        <v>95</v>
      </c>
      <c r="E20" s="28">
        <f t="shared" si="0"/>
        <v>0.5</v>
      </c>
      <c r="F20" s="26" t="s">
        <v>200</v>
      </c>
      <c r="H20" s="26">
        <v>16</v>
      </c>
      <c r="I20" s="26">
        <v>16</v>
      </c>
      <c r="J20" s="4">
        <v>70</v>
      </c>
      <c r="K20" s="4">
        <v>95</v>
      </c>
      <c r="L20" s="30">
        <f t="shared" si="1"/>
        <v>0.83333333333333337</v>
      </c>
      <c r="M20" s="26" t="s">
        <v>200</v>
      </c>
    </row>
    <row r="21" spans="1:13" x14ac:dyDescent="0.35">
      <c r="A21" s="26">
        <v>17</v>
      </c>
      <c r="B21" s="26">
        <v>17</v>
      </c>
      <c r="C21" s="4">
        <v>90</v>
      </c>
      <c r="D21" s="4">
        <v>95</v>
      </c>
      <c r="E21" s="28">
        <f t="shared" si="0"/>
        <v>0.5</v>
      </c>
      <c r="F21" s="26" t="s">
        <v>200</v>
      </c>
      <c r="H21" s="26">
        <v>17</v>
      </c>
      <c r="I21" s="26">
        <v>17</v>
      </c>
      <c r="J21" s="4">
        <v>70</v>
      </c>
      <c r="K21" s="4">
        <v>80</v>
      </c>
      <c r="L21" s="30">
        <f t="shared" si="1"/>
        <v>0.33333333333333331</v>
      </c>
      <c r="M21" s="26" t="s">
        <v>208</v>
      </c>
    </row>
    <row r="22" spans="1:13" x14ac:dyDescent="0.35">
      <c r="A22" s="26">
        <v>18</v>
      </c>
      <c r="B22" s="26">
        <v>18</v>
      </c>
      <c r="C22" s="4">
        <v>90</v>
      </c>
      <c r="D22" s="4">
        <v>95</v>
      </c>
      <c r="E22" s="28">
        <f t="shared" si="0"/>
        <v>0.5</v>
      </c>
      <c r="F22" s="26" t="s">
        <v>200</v>
      </c>
      <c r="H22" s="26">
        <v>18</v>
      </c>
      <c r="I22" s="26">
        <v>18</v>
      </c>
      <c r="J22" s="4">
        <v>70</v>
      </c>
      <c r="K22" s="4">
        <v>80</v>
      </c>
      <c r="L22" s="30">
        <f t="shared" si="1"/>
        <v>0.33333333333333331</v>
      </c>
      <c r="M22" s="26" t="s">
        <v>208</v>
      </c>
    </row>
    <row r="23" spans="1:13" x14ac:dyDescent="0.35">
      <c r="A23" s="26">
        <v>19</v>
      </c>
      <c r="B23" s="26">
        <v>19</v>
      </c>
      <c r="C23" s="4">
        <v>70</v>
      </c>
      <c r="D23" s="4">
        <v>95</v>
      </c>
      <c r="E23" s="28">
        <f t="shared" si="0"/>
        <v>0.83333333333333337</v>
      </c>
      <c r="F23" s="26" t="s">
        <v>209</v>
      </c>
      <c r="H23" s="26">
        <v>19</v>
      </c>
      <c r="I23" s="26">
        <v>19</v>
      </c>
      <c r="J23" s="4">
        <v>75</v>
      </c>
      <c r="K23" s="4">
        <v>85</v>
      </c>
      <c r="L23" s="30">
        <f t="shared" si="1"/>
        <v>0.4</v>
      </c>
      <c r="M23" s="26" t="s">
        <v>208</v>
      </c>
    </row>
    <row r="24" spans="1:13" x14ac:dyDescent="0.35">
      <c r="A24" s="26">
        <v>20</v>
      </c>
      <c r="B24" s="26">
        <v>20</v>
      </c>
      <c r="C24" s="4">
        <v>85</v>
      </c>
      <c r="D24" s="4">
        <v>95</v>
      </c>
      <c r="E24" s="28">
        <f t="shared" si="0"/>
        <v>0.66666666666666663</v>
      </c>
      <c r="F24" s="26" t="s">
        <v>210</v>
      </c>
      <c r="H24" s="26">
        <v>20</v>
      </c>
      <c r="I24" s="26">
        <v>20</v>
      </c>
      <c r="J24" s="4">
        <v>75</v>
      </c>
      <c r="K24" s="4">
        <v>80</v>
      </c>
      <c r="L24" s="30">
        <f t="shared" si="1"/>
        <v>0.2</v>
      </c>
      <c r="M24" s="26" t="s">
        <v>210</v>
      </c>
    </row>
    <row r="25" spans="1:13" x14ac:dyDescent="0.35">
      <c r="A25" s="26">
        <v>21</v>
      </c>
      <c r="B25" s="26">
        <v>21</v>
      </c>
      <c r="C25" s="4">
        <v>90</v>
      </c>
      <c r="D25" s="4">
        <v>95</v>
      </c>
      <c r="E25" s="28">
        <f t="shared" si="0"/>
        <v>0.5</v>
      </c>
      <c r="F25" s="26" t="s">
        <v>200</v>
      </c>
      <c r="H25" s="26">
        <v>21</v>
      </c>
      <c r="I25" s="26">
        <v>21</v>
      </c>
      <c r="J25" s="4">
        <v>70</v>
      </c>
      <c r="K25" s="4">
        <v>85</v>
      </c>
      <c r="L25" s="30">
        <f t="shared" si="1"/>
        <v>0.5</v>
      </c>
      <c r="M25" s="26" t="s">
        <v>209</v>
      </c>
    </row>
    <row r="26" spans="1:13" x14ac:dyDescent="0.35">
      <c r="A26" s="26">
        <v>22</v>
      </c>
      <c r="B26" s="26">
        <v>22</v>
      </c>
      <c r="C26" s="4">
        <v>80</v>
      </c>
      <c r="D26" s="4">
        <v>95</v>
      </c>
      <c r="E26" s="28">
        <f t="shared" si="0"/>
        <v>0.75</v>
      </c>
      <c r="F26" s="26" t="s">
        <v>200</v>
      </c>
      <c r="H26" s="26">
        <v>22</v>
      </c>
      <c r="I26" s="26">
        <v>22</v>
      </c>
      <c r="J26" s="4">
        <v>70</v>
      </c>
      <c r="K26" s="4">
        <v>85</v>
      </c>
      <c r="L26" s="30">
        <f t="shared" si="1"/>
        <v>0.5</v>
      </c>
      <c r="M26" s="26" t="s">
        <v>208</v>
      </c>
    </row>
    <row r="27" spans="1:13" x14ac:dyDescent="0.35">
      <c r="A27" s="26">
        <v>23</v>
      </c>
      <c r="B27" s="26">
        <v>23</v>
      </c>
      <c r="C27" s="4">
        <v>80</v>
      </c>
      <c r="D27" s="4">
        <v>95</v>
      </c>
      <c r="E27" s="4">
        <f t="shared" si="0"/>
        <v>0.75</v>
      </c>
      <c r="F27" s="26" t="s">
        <v>210</v>
      </c>
      <c r="H27" s="26">
        <v>23</v>
      </c>
      <c r="I27" s="26">
        <v>23</v>
      </c>
      <c r="J27" s="4">
        <v>60</v>
      </c>
      <c r="K27" s="4">
        <v>70</v>
      </c>
      <c r="L27" s="30">
        <f t="shared" si="1"/>
        <v>0.25</v>
      </c>
      <c r="M27" s="26" t="s">
        <v>210</v>
      </c>
    </row>
    <row r="28" spans="1:13" x14ac:dyDescent="0.35">
      <c r="A28" s="26">
        <v>24</v>
      </c>
      <c r="B28" s="26">
        <v>24</v>
      </c>
      <c r="C28" s="4">
        <v>85</v>
      </c>
      <c r="D28" s="4">
        <v>95</v>
      </c>
      <c r="E28" s="28">
        <f t="shared" si="0"/>
        <v>0.66666666666666663</v>
      </c>
      <c r="F28" s="26" t="s">
        <v>209</v>
      </c>
      <c r="H28" s="26">
        <v>24</v>
      </c>
      <c r="I28" s="26">
        <v>24</v>
      </c>
      <c r="J28" s="4">
        <v>70</v>
      </c>
      <c r="K28" s="4">
        <v>95</v>
      </c>
      <c r="L28" s="30">
        <f t="shared" si="1"/>
        <v>0.83333333333333337</v>
      </c>
      <c r="M28" s="26" t="s">
        <v>200</v>
      </c>
    </row>
    <row r="29" spans="1:13" x14ac:dyDescent="0.35">
      <c r="A29" s="26">
        <v>25</v>
      </c>
      <c r="B29" s="26">
        <v>25</v>
      </c>
      <c r="C29" s="4">
        <v>85</v>
      </c>
      <c r="D29" s="4">
        <v>95</v>
      </c>
      <c r="E29" s="28">
        <f t="shared" si="0"/>
        <v>0.66666666666666663</v>
      </c>
      <c r="F29" s="26" t="s">
        <v>212</v>
      </c>
      <c r="H29" s="26">
        <v>25</v>
      </c>
      <c r="I29" s="26">
        <v>25</v>
      </c>
      <c r="J29" s="4">
        <v>70</v>
      </c>
      <c r="K29" s="4">
        <v>95</v>
      </c>
      <c r="L29" s="30">
        <f t="shared" si="1"/>
        <v>0.83333333333333337</v>
      </c>
      <c r="M29" s="26" t="s">
        <v>200</v>
      </c>
    </row>
    <row r="30" spans="1:13" x14ac:dyDescent="0.35">
      <c r="A30" s="26">
        <v>26</v>
      </c>
      <c r="B30" s="26">
        <v>26</v>
      </c>
      <c r="C30" s="4">
        <v>85</v>
      </c>
      <c r="D30" s="4">
        <v>95</v>
      </c>
      <c r="E30" s="28">
        <f t="shared" si="0"/>
        <v>0.66666666666666663</v>
      </c>
      <c r="F30" s="26" t="s">
        <v>209</v>
      </c>
      <c r="H30" s="26">
        <v>26</v>
      </c>
      <c r="I30" s="26">
        <v>26</v>
      </c>
      <c r="J30" s="4">
        <v>70</v>
      </c>
      <c r="K30" s="4">
        <v>80</v>
      </c>
      <c r="L30" s="30">
        <f t="shared" si="1"/>
        <v>0.33333333333333331</v>
      </c>
      <c r="M30" s="26" t="s">
        <v>208</v>
      </c>
    </row>
    <row r="31" spans="1:13" x14ac:dyDescent="0.35">
      <c r="A31" s="26">
        <v>27</v>
      </c>
      <c r="B31" s="26">
        <v>27</v>
      </c>
      <c r="C31" s="4">
        <v>85</v>
      </c>
      <c r="D31" s="4">
        <v>95</v>
      </c>
      <c r="E31" s="28">
        <f t="shared" si="0"/>
        <v>0.66666666666666663</v>
      </c>
      <c r="F31" s="26" t="s">
        <v>200</v>
      </c>
      <c r="H31" s="26">
        <v>27</v>
      </c>
      <c r="I31" s="26">
        <v>27</v>
      </c>
      <c r="J31" s="4">
        <v>60</v>
      </c>
      <c r="K31" s="4">
        <v>70</v>
      </c>
      <c r="L31" s="30">
        <f t="shared" si="1"/>
        <v>0.25</v>
      </c>
      <c r="M31" s="26" t="s">
        <v>210</v>
      </c>
    </row>
    <row r="32" spans="1:13" x14ac:dyDescent="0.35">
      <c r="A32" s="26">
        <v>28</v>
      </c>
      <c r="B32" s="26">
        <v>28</v>
      </c>
      <c r="C32" s="4">
        <v>80</v>
      </c>
      <c r="D32" s="4">
        <v>95</v>
      </c>
      <c r="E32" s="4">
        <f t="shared" si="0"/>
        <v>0.75</v>
      </c>
      <c r="F32" s="26" t="s">
        <v>210</v>
      </c>
      <c r="H32" s="26">
        <v>28</v>
      </c>
      <c r="I32" s="26">
        <v>28</v>
      </c>
      <c r="J32" s="4">
        <v>60</v>
      </c>
      <c r="K32" s="4">
        <v>70</v>
      </c>
      <c r="L32" s="30">
        <f t="shared" si="1"/>
        <v>0.25</v>
      </c>
      <c r="M32" s="26" t="s">
        <v>210</v>
      </c>
    </row>
    <row r="33" spans="1:13" x14ac:dyDescent="0.35">
      <c r="A33" s="26">
        <v>29</v>
      </c>
      <c r="B33" s="26">
        <v>29</v>
      </c>
      <c r="C33" s="4">
        <v>80</v>
      </c>
      <c r="D33" s="4">
        <v>95</v>
      </c>
      <c r="E33" s="28">
        <f t="shared" si="0"/>
        <v>0.75</v>
      </c>
      <c r="F33" s="26" t="s">
        <v>209</v>
      </c>
      <c r="H33" s="26">
        <v>29</v>
      </c>
      <c r="I33" s="26">
        <v>29</v>
      </c>
      <c r="J33" s="4">
        <v>70</v>
      </c>
      <c r="K33" s="4">
        <v>90</v>
      </c>
      <c r="L33" s="30">
        <f t="shared" si="1"/>
        <v>0.66666666666666663</v>
      </c>
      <c r="M33" s="26" t="s">
        <v>209</v>
      </c>
    </row>
    <row r="34" spans="1:13" x14ac:dyDescent="0.35">
      <c r="A34" s="26">
        <v>30</v>
      </c>
      <c r="B34" s="26">
        <v>30</v>
      </c>
      <c r="C34" s="4">
        <v>80</v>
      </c>
      <c r="D34" s="4">
        <v>95</v>
      </c>
      <c r="E34" s="28">
        <f t="shared" si="0"/>
        <v>0.75</v>
      </c>
      <c r="F34" s="26" t="s">
        <v>200</v>
      </c>
      <c r="H34" s="26">
        <v>30</v>
      </c>
      <c r="I34" s="26">
        <v>30</v>
      </c>
      <c r="J34" s="4">
        <v>65</v>
      </c>
      <c r="K34" s="4">
        <v>75</v>
      </c>
      <c r="L34" s="30">
        <f t="shared" si="1"/>
        <v>0.2857142857142857</v>
      </c>
      <c r="M34" s="26" t="s">
        <v>210</v>
      </c>
    </row>
    <row r="35" spans="1:13" x14ac:dyDescent="0.35">
      <c r="A35" s="26">
        <v>31</v>
      </c>
      <c r="B35" s="26">
        <v>31</v>
      </c>
      <c r="C35" s="4">
        <v>80</v>
      </c>
      <c r="D35" s="4">
        <v>95</v>
      </c>
      <c r="E35" s="28">
        <f t="shared" si="0"/>
        <v>0.75</v>
      </c>
      <c r="F35" s="26" t="s">
        <v>209</v>
      </c>
      <c r="H35" s="26">
        <v>31</v>
      </c>
      <c r="I35" s="26">
        <v>31</v>
      </c>
      <c r="J35" s="4">
        <v>60</v>
      </c>
      <c r="K35" s="4">
        <v>90</v>
      </c>
      <c r="L35" s="30">
        <f t="shared" si="1"/>
        <v>0.75</v>
      </c>
      <c r="M35" s="26" t="s">
        <v>211</v>
      </c>
    </row>
    <row r="36" spans="1:13" x14ac:dyDescent="0.35">
      <c r="A36" s="26">
        <v>32</v>
      </c>
      <c r="B36" s="26">
        <v>32</v>
      </c>
      <c r="C36" s="4">
        <v>70</v>
      </c>
      <c r="D36" s="4">
        <v>95</v>
      </c>
      <c r="E36" s="28">
        <f t="shared" si="0"/>
        <v>0.83333333333333337</v>
      </c>
      <c r="F36" s="26" t="s">
        <v>200</v>
      </c>
      <c r="H36" s="26">
        <v>32</v>
      </c>
      <c r="I36" s="26">
        <v>32</v>
      </c>
      <c r="J36" s="4">
        <v>70</v>
      </c>
      <c r="K36" s="4">
        <v>90</v>
      </c>
      <c r="L36" s="30">
        <f t="shared" si="1"/>
        <v>0.66666666666666663</v>
      </c>
      <c r="M36" s="26" t="s">
        <v>208</v>
      </c>
    </row>
    <row r="37" spans="1:13" x14ac:dyDescent="0.35">
      <c r="A37" s="26">
        <v>33</v>
      </c>
      <c r="B37" s="26">
        <v>33</v>
      </c>
      <c r="C37" s="4">
        <v>70</v>
      </c>
      <c r="D37" s="4">
        <v>95</v>
      </c>
      <c r="E37" s="28">
        <f t="shared" si="0"/>
        <v>0.83333333333333337</v>
      </c>
      <c r="F37" s="26" t="s">
        <v>200</v>
      </c>
      <c r="H37" s="26">
        <v>33</v>
      </c>
      <c r="I37" s="26">
        <v>33</v>
      </c>
      <c r="J37" s="4">
        <v>60</v>
      </c>
      <c r="K37" s="4">
        <v>90</v>
      </c>
      <c r="L37" s="30">
        <f t="shared" si="1"/>
        <v>0.75</v>
      </c>
      <c r="M37" s="26" t="s">
        <v>200</v>
      </c>
    </row>
    <row r="38" spans="1:13" x14ac:dyDescent="0.35">
      <c r="A38" s="26">
        <v>34</v>
      </c>
      <c r="B38" s="26">
        <v>34</v>
      </c>
      <c r="C38" s="4">
        <v>70</v>
      </c>
      <c r="D38" s="4">
        <v>95</v>
      </c>
      <c r="E38" s="28">
        <f t="shared" si="0"/>
        <v>0.83333333333333337</v>
      </c>
      <c r="F38" s="26" t="s">
        <v>209</v>
      </c>
      <c r="H38" s="26">
        <v>34</v>
      </c>
      <c r="I38" s="26">
        <v>34</v>
      </c>
      <c r="J38" s="4">
        <v>60</v>
      </c>
      <c r="K38" s="4">
        <v>70</v>
      </c>
      <c r="L38" s="30">
        <f t="shared" si="1"/>
        <v>0.25</v>
      </c>
      <c r="M38" s="26" t="s">
        <v>210</v>
      </c>
    </row>
    <row r="39" spans="1:13" x14ac:dyDescent="0.35">
      <c r="A39" s="26">
        <v>35</v>
      </c>
      <c r="B39" s="26">
        <v>35</v>
      </c>
      <c r="C39" s="4">
        <v>70</v>
      </c>
      <c r="D39" s="4">
        <v>95</v>
      </c>
      <c r="E39" s="28">
        <f t="shared" si="0"/>
        <v>0.83333333333333337</v>
      </c>
      <c r="F39" s="26" t="s">
        <v>208</v>
      </c>
      <c r="H39" s="26">
        <v>35</v>
      </c>
      <c r="I39" s="26">
        <v>35</v>
      </c>
      <c r="J39" s="4">
        <v>65</v>
      </c>
      <c r="K39" s="4">
        <v>70</v>
      </c>
      <c r="L39" s="30">
        <f t="shared" si="1"/>
        <v>0.14285714285714285</v>
      </c>
      <c r="M39" s="26" t="s">
        <v>210</v>
      </c>
    </row>
    <row r="40" spans="1:13" x14ac:dyDescent="0.35">
      <c r="A40" s="26">
        <v>36</v>
      </c>
      <c r="B40" s="26">
        <v>36</v>
      </c>
      <c r="C40" s="4">
        <v>70</v>
      </c>
      <c r="D40" s="4">
        <v>95</v>
      </c>
      <c r="E40" s="28">
        <f t="shared" si="0"/>
        <v>0.83333333333333337</v>
      </c>
      <c r="F40" s="26" t="s">
        <v>200</v>
      </c>
      <c r="H40" s="26">
        <v>36</v>
      </c>
      <c r="I40" s="26">
        <v>36</v>
      </c>
      <c r="J40" s="4">
        <v>65</v>
      </c>
      <c r="K40" s="4">
        <v>75</v>
      </c>
      <c r="L40" s="30">
        <f t="shared" si="1"/>
        <v>0.2857142857142857</v>
      </c>
      <c r="M40" s="26" t="s">
        <v>210</v>
      </c>
    </row>
    <row r="41" spans="1:13" x14ac:dyDescent="0.35">
      <c r="A41" s="26">
        <v>37</v>
      </c>
      <c r="B41" s="26">
        <v>37</v>
      </c>
      <c r="C41" s="4">
        <v>70</v>
      </c>
      <c r="D41" s="4">
        <v>95</v>
      </c>
      <c r="E41" s="28">
        <f t="shared" si="0"/>
        <v>0.83333333333333337</v>
      </c>
      <c r="F41" s="26" t="s">
        <v>212</v>
      </c>
      <c r="H41" s="26">
        <v>37</v>
      </c>
      <c r="I41" s="26">
        <v>37</v>
      </c>
      <c r="J41" s="4">
        <v>65</v>
      </c>
      <c r="K41" s="4">
        <v>75</v>
      </c>
      <c r="L41" s="30">
        <f t="shared" si="1"/>
        <v>0.2857142857142857</v>
      </c>
      <c r="M41" s="26" t="s">
        <v>210</v>
      </c>
    </row>
    <row r="42" spans="1:13" x14ac:dyDescent="0.35">
      <c r="A42" s="26">
        <v>38</v>
      </c>
      <c r="B42" s="26">
        <v>38</v>
      </c>
      <c r="C42" s="4">
        <v>80</v>
      </c>
      <c r="D42" s="4">
        <v>95</v>
      </c>
      <c r="E42" s="4">
        <f t="shared" si="0"/>
        <v>0.75</v>
      </c>
      <c r="F42" s="26" t="s">
        <v>200</v>
      </c>
      <c r="H42" s="26">
        <v>38</v>
      </c>
      <c r="I42" s="26">
        <v>38</v>
      </c>
      <c r="J42" s="4">
        <v>60</v>
      </c>
      <c r="K42" s="4">
        <v>90</v>
      </c>
      <c r="L42" s="30">
        <f t="shared" si="1"/>
        <v>0.75</v>
      </c>
      <c r="M42" s="26" t="s">
        <v>200</v>
      </c>
    </row>
    <row r="43" spans="1:13" x14ac:dyDescent="0.35">
      <c r="A43" s="26">
        <v>39</v>
      </c>
      <c r="B43" s="26">
        <v>39</v>
      </c>
      <c r="C43" s="4">
        <v>70</v>
      </c>
      <c r="D43" s="4">
        <v>95</v>
      </c>
      <c r="E43" s="28">
        <f t="shared" si="0"/>
        <v>0.83333333333333337</v>
      </c>
      <c r="F43" s="26" t="s">
        <v>208</v>
      </c>
      <c r="H43" s="26">
        <v>39</v>
      </c>
      <c r="I43" s="26">
        <v>39</v>
      </c>
      <c r="J43" s="4">
        <v>65</v>
      </c>
      <c r="K43" s="4">
        <v>70</v>
      </c>
      <c r="L43" s="30">
        <f t="shared" si="1"/>
        <v>0.14285714285714285</v>
      </c>
      <c r="M43" s="26" t="s">
        <v>210</v>
      </c>
    </row>
    <row r="44" spans="1:13" x14ac:dyDescent="0.35">
      <c r="A44" s="26">
        <v>40</v>
      </c>
      <c r="B44" s="26">
        <v>40</v>
      </c>
      <c r="C44" s="4">
        <v>70</v>
      </c>
      <c r="D44" s="4">
        <v>95</v>
      </c>
      <c r="E44" s="28">
        <f t="shared" si="0"/>
        <v>0.83333333333333337</v>
      </c>
      <c r="F44" s="26" t="s">
        <v>200</v>
      </c>
      <c r="H44" s="26">
        <v>40</v>
      </c>
      <c r="I44" s="26">
        <v>40</v>
      </c>
      <c r="J44" s="4">
        <v>70</v>
      </c>
      <c r="K44" s="4">
        <v>95</v>
      </c>
      <c r="L44" s="30">
        <f t="shared" si="1"/>
        <v>0.83333333333333337</v>
      </c>
      <c r="M44" s="26" t="s">
        <v>200</v>
      </c>
    </row>
    <row r="45" spans="1:13" x14ac:dyDescent="0.35">
      <c r="A45" s="26">
        <v>41</v>
      </c>
      <c r="B45" s="26">
        <v>41</v>
      </c>
      <c r="C45" s="4">
        <v>70</v>
      </c>
      <c r="D45" s="4">
        <v>95</v>
      </c>
      <c r="E45" s="28">
        <f t="shared" si="0"/>
        <v>0.83333333333333337</v>
      </c>
      <c r="F45" s="26" t="s">
        <v>200</v>
      </c>
      <c r="H45" s="26">
        <v>41</v>
      </c>
      <c r="I45" s="26">
        <v>41</v>
      </c>
      <c r="J45" s="4">
        <v>70</v>
      </c>
      <c r="K45" s="4">
        <v>95</v>
      </c>
      <c r="L45" s="30">
        <f t="shared" si="1"/>
        <v>0.83333333333333337</v>
      </c>
      <c r="M45" s="31" t="s">
        <v>211</v>
      </c>
    </row>
    <row r="46" spans="1:13" x14ac:dyDescent="0.35">
      <c r="A46" s="26">
        <v>42</v>
      </c>
      <c r="B46" s="26">
        <v>42</v>
      </c>
      <c r="C46" s="4">
        <v>70</v>
      </c>
      <c r="D46" s="4">
        <v>95</v>
      </c>
      <c r="E46" s="28">
        <f t="shared" si="0"/>
        <v>0.83333333333333337</v>
      </c>
      <c r="F46" s="26" t="s">
        <v>209</v>
      </c>
      <c r="H46" s="94" t="s">
        <v>174</v>
      </c>
      <c r="I46" s="95"/>
      <c r="J46" s="4">
        <f>SUM(J5:J45)</f>
        <v>2845</v>
      </c>
      <c r="K46" s="4">
        <f>SUM(K5:K45)</f>
        <v>3535</v>
      </c>
      <c r="L46" s="28">
        <f t="shared" ref="L46" si="2">SUM(L5:L45)</f>
        <v>23.292857142857141</v>
      </c>
      <c r="M46" s="26"/>
    </row>
    <row r="47" spans="1:13" x14ac:dyDescent="0.35">
      <c r="A47" s="91" t="s">
        <v>174</v>
      </c>
      <c r="B47" s="91"/>
      <c r="C47" s="4">
        <f>SUM(C5:C46)</f>
        <v>3360</v>
      </c>
      <c r="D47" s="4">
        <f>SUM(D5:D46)</f>
        <v>3975</v>
      </c>
      <c r="E47" s="28">
        <f>SUM(E5:E46)</f>
        <v>29.249999999999986</v>
      </c>
      <c r="F47" s="26"/>
      <c r="H47" s="94" t="s">
        <v>202</v>
      </c>
      <c r="I47" s="95"/>
      <c r="J47" s="28">
        <f>AVERAGE(J5:J45)</f>
        <v>69.390243902439025</v>
      </c>
      <c r="K47" s="28">
        <f t="shared" ref="K47:L47" si="3">AVERAGE(K5:K45)</f>
        <v>86.219512195121951</v>
      </c>
      <c r="L47" s="28">
        <f t="shared" si="3"/>
        <v>0.56811846689895462</v>
      </c>
      <c r="M47" s="26" t="s">
        <v>208</v>
      </c>
    </row>
    <row r="48" spans="1:13" x14ac:dyDescent="0.35">
      <c r="A48" s="89" t="s">
        <v>202</v>
      </c>
      <c r="B48" s="90"/>
      <c r="C48" s="28">
        <f>AVERAGE(C5:C46)</f>
        <v>80</v>
      </c>
      <c r="D48" s="28">
        <f>AVERAGE(D5:D46)</f>
        <v>94.642857142857139</v>
      </c>
      <c r="E48" s="28">
        <f>AVERAGE(E5:E46)</f>
        <v>0.69642857142857106</v>
      </c>
      <c r="F48" s="4" t="s">
        <v>200</v>
      </c>
    </row>
  </sheetData>
  <mergeCells count="16">
    <mergeCell ref="A47:B47"/>
    <mergeCell ref="A48:B48"/>
    <mergeCell ref="H1:M1"/>
    <mergeCell ref="H2:H4"/>
    <mergeCell ref="I2:I4"/>
    <mergeCell ref="J2:K3"/>
    <mergeCell ref="L2:L4"/>
    <mergeCell ref="M2:M4"/>
    <mergeCell ref="H46:I46"/>
    <mergeCell ref="H47:I47"/>
    <mergeCell ref="A1:F1"/>
    <mergeCell ref="A2:A4"/>
    <mergeCell ref="B2:B4"/>
    <mergeCell ref="C2:D3"/>
    <mergeCell ref="E2:E4"/>
    <mergeCell ref="F2:F4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9B6D7-094D-4872-A209-DABA84E8CD43}">
  <dimension ref="A1:W46"/>
  <sheetViews>
    <sheetView zoomScale="78" zoomScaleNormal="78" workbookViewId="0">
      <selection sqref="A1:XFD1048576"/>
    </sheetView>
  </sheetViews>
  <sheetFormatPr defaultRowHeight="14.5" x14ac:dyDescent="0.35"/>
  <cols>
    <col min="2" max="2" width="23.81640625" customWidth="1"/>
  </cols>
  <sheetData>
    <row r="1" spans="1:23" x14ac:dyDescent="0.35">
      <c r="A1" s="8" t="s">
        <v>48</v>
      </c>
      <c r="B1" s="8" t="s">
        <v>51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177</v>
      </c>
      <c r="I1" s="8" t="s">
        <v>178</v>
      </c>
      <c r="J1" s="8" t="s">
        <v>181</v>
      </c>
      <c r="K1" s="8" t="s">
        <v>182</v>
      </c>
      <c r="L1" s="8" t="s">
        <v>183</v>
      </c>
      <c r="M1" s="8" t="s">
        <v>184</v>
      </c>
      <c r="N1" s="8" t="s">
        <v>185</v>
      </c>
      <c r="O1" s="8" t="s">
        <v>186</v>
      </c>
      <c r="P1" s="8" t="s">
        <v>187</v>
      </c>
      <c r="Q1" s="8" t="s">
        <v>188</v>
      </c>
      <c r="R1" s="8" t="s">
        <v>189</v>
      </c>
      <c r="S1" s="8" t="s">
        <v>190</v>
      </c>
      <c r="T1" s="8" t="s">
        <v>191</v>
      </c>
      <c r="U1" s="8" t="s">
        <v>192</v>
      </c>
      <c r="V1" s="8" t="s">
        <v>193</v>
      </c>
      <c r="W1" s="8" t="s">
        <v>242</v>
      </c>
    </row>
    <row r="2" spans="1:23" x14ac:dyDescent="0.35">
      <c r="A2" s="16">
        <v>1</v>
      </c>
      <c r="B2" s="17" t="s">
        <v>52</v>
      </c>
      <c r="C2" s="16">
        <v>3</v>
      </c>
      <c r="D2" s="16">
        <v>3</v>
      </c>
      <c r="E2" s="16">
        <v>2</v>
      </c>
      <c r="F2" s="16">
        <v>3</v>
      </c>
      <c r="G2" s="16">
        <v>2</v>
      </c>
      <c r="H2" s="16">
        <v>4</v>
      </c>
      <c r="I2" s="16">
        <v>3</v>
      </c>
      <c r="J2" s="16">
        <v>2</v>
      </c>
      <c r="K2" s="16">
        <v>4</v>
      </c>
      <c r="L2" s="16">
        <v>3</v>
      </c>
      <c r="M2" s="16">
        <v>3</v>
      </c>
      <c r="N2" s="16">
        <v>3</v>
      </c>
      <c r="O2" s="16">
        <v>3</v>
      </c>
      <c r="P2" s="16">
        <v>3</v>
      </c>
      <c r="Q2" s="16">
        <v>2</v>
      </c>
      <c r="R2" s="16">
        <v>2</v>
      </c>
      <c r="S2" s="16">
        <v>3</v>
      </c>
      <c r="T2" s="16">
        <v>3</v>
      </c>
      <c r="U2" s="16">
        <v>4</v>
      </c>
      <c r="V2" s="16">
        <v>2</v>
      </c>
      <c r="W2" s="4">
        <f>SUM(C2:V2)</f>
        <v>57</v>
      </c>
    </row>
    <row r="3" spans="1:23" x14ac:dyDescent="0.35">
      <c r="A3" s="16">
        <v>2</v>
      </c>
      <c r="B3" s="17" t="s">
        <v>1</v>
      </c>
      <c r="C3" s="16">
        <v>1</v>
      </c>
      <c r="D3" s="16">
        <v>4</v>
      </c>
      <c r="E3" s="16">
        <v>3</v>
      </c>
      <c r="F3" s="16">
        <v>4</v>
      </c>
      <c r="G3" s="16">
        <v>4</v>
      </c>
      <c r="H3" s="16">
        <v>1</v>
      </c>
      <c r="I3" s="16">
        <v>4</v>
      </c>
      <c r="J3" s="16">
        <v>4</v>
      </c>
      <c r="K3" s="16">
        <v>1</v>
      </c>
      <c r="L3" s="16">
        <v>4</v>
      </c>
      <c r="M3" s="16">
        <v>4</v>
      </c>
      <c r="N3" s="16">
        <v>1</v>
      </c>
      <c r="O3" s="16">
        <v>4</v>
      </c>
      <c r="P3" s="16">
        <v>4</v>
      </c>
      <c r="Q3" s="16">
        <v>1</v>
      </c>
      <c r="R3" s="16">
        <v>3</v>
      </c>
      <c r="S3" s="16">
        <v>3</v>
      </c>
      <c r="T3" s="16">
        <v>3</v>
      </c>
      <c r="U3" s="16">
        <v>3</v>
      </c>
      <c r="V3" s="16">
        <v>2</v>
      </c>
      <c r="W3" s="4">
        <f t="shared" ref="W3:W43" si="0">SUM(C3:V3)</f>
        <v>58</v>
      </c>
    </row>
    <row r="4" spans="1:23" x14ac:dyDescent="0.35">
      <c r="A4" s="16">
        <v>3</v>
      </c>
      <c r="B4" s="17" t="s">
        <v>53</v>
      </c>
      <c r="C4" s="16">
        <v>3</v>
      </c>
      <c r="D4" s="16">
        <v>3</v>
      </c>
      <c r="E4" s="16">
        <v>4</v>
      </c>
      <c r="F4" s="16">
        <v>3</v>
      </c>
      <c r="G4" s="16">
        <v>3</v>
      </c>
      <c r="H4" s="16">
        <v>4</v>
      </c>
      <c r="I4" s="16">
        <v>4</v>
      </c>
      <c r="J4" s="16">
        <v>3</v>
      </c>
      <c r="K4" s="16">
        <v>2</v>
      </c>
      <c r="L4" s="16">
        <v>1</v>
      </c>
      <c r="M4" s="16">
        <v>1</v>
      </c>
      <c r="N4" s="16">
        <v>1</v>
      </c>
      <c r="O4" s="16">
        <v>2</v>
      </c>
      <c r="P4" s="16">
        <v>4</v>
      </c>
      <c r="Q4" s="16">
        <v>3</v>
      </c>
      <c r="R4" s="16">
        <v>2</v>
      </c>
      <c r="S4" s="16">
        <v>1</v>
      </c>
      <c r="T4" s="16">
        <v>3</v>
      </c>
      <c r="U4" s="16">
        <v>2</v>
      </c>
      <c r="V4" s="16">
        <v>1</v>
      </c>
      <c r="W4" s="4">
        <f t="shared" si="0"/>
        <v>50</v>
      </c>
    </row>
    <row r="5" spans="1:23" x14ac:dyDescent="0.35">
      <c r="A5" s="16">
        <v>4</v>
      </c>
      <c r="B5" s="17" t="s">
        <v>2</v>
      </c>
      <c r="C5" s="16">
        <v>3</v>
      </c>
      <c r="D5" s="16">
        <v>3</v>
      </c>
      <c r="E5" s="16">
        <v>3</v>
      </c>
      <c r="F5" s="16">
        <v>2</v>
      </c>
      <c r="G5" s="16">
        <v>3</v>
      </c>
      <c r="H5" s="16">
        <v>3</v>
      </c>
      <c r="I5" s="16">
        <v>3</v>
      </c>
      <c r="J5" s="16">
        <v>2</v>
      </c>
      <c r="K5" s="16">
        <v>2</v>
      </c>
      <c r="L5" s="16">
        <v>3</v>
      </c>
      <c r="M5" s="16">
        <v>3</v>
      </c>
      <c r="N5" s="16">
        <v>3</v>
      </c>
      <c r="O5" s="16">
        <v>2</v>
      </c>
      <c r="P5" s="16">
        <v>3</v>
      </c>
      <c r="Q5" s="16">
        <v>3</v>
      </c>
      <c r="R5" s="16">
        <v>3</v>
      </c>
      <c r="S5" s="16">
        <v>3</v>
      </c>
      <c r="T5" s="16">
        <v>3</v>
      </c>
      <c r="U5" s="16">
        <v>2</v>
      </c>
      <c r="V5" s="16">
        <v>2</v>
      </c>
      <c r="W5" s="4">
        <f t="shared" si="0"/>
        <v>54</v>
      </c>
    </row>
    <row r="6" spans="1:23" x14ac:dyDescent="0.35">
      <c r="A6" s="16">
        <v>5</v>
      </c>
      <c r="B6" s="17" t="s">
        <v>3</v>
      </c>
      <c r="C6" s="16">
        <v>3</v>
      </c>
      <c r="D6" s="16">
        <v>4</v>
      </c>
      <c r="E6" s="16">
        <v>3</v>
      </c>
      <c r="F6" s="16">
        <v>2</v>
      </c>
      <c r="G6" s="16">
        <v>3</v>
      </c>
      <c r="H6" s="16">
        <v>3</v>
      </c>
      <c r="I6" s="16">
        <v>3</v>
      </c>
      <c r="J6" s="16">
        <v>3</v>
      </c>
      <c r="K6" s="16">
        <v>3</v>
      </c>
      <c r="L6" s="16">
        <v>3</v>
      </c>
      <c r="M6" s="16">
        <v>3</v>
      </c>
      <c r="N6" s="16">
        <v>2</v>
      </c>
      <c r="O6" s="16">
        <v>3</v>
      </c>
      <c r="P6" s="16">
        <v>3</v>
      </c>
      <c r="Q6" s="16">
        <v>3</v>
      </c>
      <c r="R6" s="16">
        <v>3</v>
      </c>
      <c r="S6" s="16">
        <v>3</v>
      </c>
      <c r="T6" s="16">
        <v>3</v>
      </c>
      <c r="U6" s="16">
        <v>3</v>
      </c>
      <c r="V6" s="16">
        <v>3</v>
      </c>
      <c r="W6" s="4">
        <f t="shared" si="0"/>
        <v>59</v>
      </c>
    </row>
    <row r="7" spans="1:23" x14ac:dyDescent="0.35">
      <c r="A7" s="16">
        <v>6</v>
      </c>
      <c r="B7" s="17" t="s">
        <v>4</v>
      </c>
      <c r="C7" s="16">
        <v>3</v>
      </c>
      <c r="D7" s="16">
        <v>3</v>
      </c>
      <c r="E7" s="16">
        <v>1</v>
      </c>
      <c r="F7" s="16">
        <v>3</v>
      </c>
      <c r="G7" s="16">
        <v>3</v>
      </c>
      <c r="H7" s="16">
        <v>3</v>
      </c>
      <c r="I7" s="16">
        <v>1</v>
      </c>
      <c r="J7" s="16">
        <v>4</v>
      </c>
      <c r="K7" s="16">
        <v>3</v>
      </c>
      <c r="L7" s="16">
        <v>4</v>
      </c>
      <c r="M7" s="16">
        <v>4</v>
      </c>
      <c r="N7" s="16">
        <v>3</v>
      </c>
      <c r="O7" s="16">
        <v>4</v>
      </c>
      <c r="P7" s="16">
        <v>3</v>
      </c>
      <c r="Q7" s="16">
        <v>4</v>
      </c>
      <c r="R7" s="16">
        <v>3</v>
      </c>
      <c r="S7" s="16">
        <v>2</v>
      </c>
      <c r="T7" s="16">
        <v>1</v>
      </c>
      <c r="U7" s="16">
        <v>3</v>
      </c>
      <c r="V7" s="16">
        <v>4</v>
      </c>
      <c r="W7" s="4">
        <f t="shared" si="0"/>
        <v>59</v>
      </c>
    </row>
    <row r="8" spans="1:23" x14ac:dyDescent="0.35">
      <c r="A8" s="16">
        <v>7</v>
      </c>
      <c r="B8" s="17" t="s">
        <v>5</v>
      </c>
      <c r="C8" s="16">
        <v>4</v>
      </c>
      <c r="D8" s="16">
        <v>4</v>
      </c>
      <c r="E8" s="16">
        <v>3</v>
      </c>
      <c r="F8" s="16">
        <v>3</v>
      </c>
      <c r="G8" s="16">
        <v>3</v>
      </c>
      <c r="H8" s="16">
        <v>4</v>
      </c>
      <c r="I8" s="16">
        <v>4</v>
      </c>
      <c r="J8" s="16">
        <v>3</v>
      </c>
      <c r="K8" s="16">
        <v>3</v>
      </c>
      <c r="L8" s="16">
        <v>2</v>
      </c>
      <c r="M8" s="16">
        <v>4</v>
      </c>
      <c r="N8" s="16">
        <v>1</v>
      </c>
      <c r="O8" s="16">
        <v>3</v>
      </c>
      <c r="P8" s="16">
        <v>4</v>
      </c>
      <c r="Q8" s="16">
        <v>2</v>
      </c>
      <c r="R8" s="16">
        <v>3</v>
      </c>
      <c r="S8" s="16">
        <v>3</v>
      </c>
      <c r="T8" s="16">
        <v>2</v>
      </c>
      <c r="U8" s="16">
        <v>3</v>
      </c>
      <c r="V8" s="16">
        <v>2</v>
      </c>
      <c r="W8" s="4">
        <f t="shared" si="0"/>
        <v>60</v>
      </c>
    </row>
    <row r="9" spans="1:23" x14ac:dyDescent="0.35">
      <c r="A9" s="16">
        <v>8</v>
      </c>
      <c r="B9" s="17" t="s">
        <v>6</v>
      </c>
      <c r="C9" s="16">
        <v>3</v>
      </c>
      <c r="D9" s="16">
        <v>4</v>
      </c>
      <c r="E9" s="16">
        <v>4</v>
      </c>
      <c r="F9" s="16">
        <v>4</v>
      </c>
      <c r="G9" s="16">
        <v>4</v>
      </c>
      <c r="H9" s="16">
        <v>4</v>
      </c>
      <c r="I9" s="16">
        <v>3</v>
      </c>
      <c r="J9" s="16">
        <v>1</v>
      </c>
      <c r="K9" s="16">
        <v>3</v>
      </c>
      <c r="L9" s="16">
        <v>3</v>
      </c>
      <c r="M9" s="16">
        <v>4</v>
      </c>
      <c r="N9" s="16">
        <v>4</v>
      </c>
      <c r="O9" s="16">
        <v>3</v>
      </c>
      <c r="P9" s="16">
        <v>3</v>
      </c>
      <c r="Q9" s="16">
        <v>2</v>
      </c>
      <c r="R9" s="16">
        <v>4</v>
      </c>
      <c r="S9" s="16">
        <v>3</v>
      </c>
      <c r="T9" s="16">
        <v>3</v>
      </c>
      <c r="U9" s="16">
        <v>3</v>
      </c>
      <c r="V9" s="16">
        <v>4</v>
      </c>
      <c r="W9" s="4">
        <f t="shared" si="0"/>
        <v>66</v>
      </c>
    </row>
    <row r="10" spans="1:23" x14ac:dyDescent="0.35">
      <c r="A10" s="16">
        <v>9</v>
      </c>
      <c r="B10" s="17" t="s">
        <v>7</v>
      </c>
      <c r="C10" s="16">
        <v>3</v>
      </c>
      <c r="D10" s="16">
        <v>3</v>
      </c>
      <c r="E10" s="16">
        <v>3</v>
      </c>
      <c r="F10" s="16">
        <v>1</v>
      </c>
      <c r="G10" s="16">
        <v>3</v>
      </c>
      <c r="H10" s="16">
        <v>4</v>
      </c>
      <c r="I10" s="16">
        <v>3</v>
      </c>
      <c r="J10" s="16">
        <v>2</v>
      </c>
      <c r="K10" s="16">
        <v>3</v>
      </c>
      <c r="L10" s="16">
        <v>3</v>
      </c>
      <c r="M10" s="16">
        <v>4</v>
      </c>
      <c r="N10" s="16">
        <v>3</v>
      </c>
      <c r="O10" s="16">
        <v>2</v>
      </c>
      <c r="P10" s="16">
        <v>2</v>
      </c>
      <c r="Q10" s="16">
        <v>3</v>
      </c>
      <c r="R10" s="16">
        <v>2</v>
      </c>
      <c r="S10" s="16">
        <v>4</v>
      </c>
      <c r="T10" s="16">
        <v>3</v>
      </c>
      <c r="U10" s="16">
        <v>2</v>
      </c>
      <c r="V10" s="16">
        <v>4</v>
      </c>
      <c r="W10" s="4">
        <f t="shared" si="0"/>
        <v>57</v>
      </c>
    </row>
    <row r="11" spans="1:23" x14ac:dyDescent="0.35">
      <c r="A11" s="16">
        <v>10</v>
      </c>
      <c r="B11" s="17" t="s">
        <v>54</v>
      </c>
      <c r="C11" s="16">
        <v>3</v>
      </c>
      <c r="D11" s="16">
        <v>3</v>
      </c>
      <c r="E11" s="16">
        <v>3</v>
      </c>
      <c r="F11" s="16">
        <v>1</v>
      </c>
      <c r="G11" s="16">
        <v>3</v>
      </c>
      <c r="H11" s="16">
        <v>4</v>
      </c>
      <c r="I11" s="16">
        <v>3</v>
      </c>
      <c r="J11" s="16">
        <v>2</v>
      </c>
      <c r="K11" s="16">
        <v>3</v>
      </c>
      <c r="L11" s="16">
        <v>3</v>
      </c>
      <c r="M11" s="16">
        <v>4</v>
      </c>
      <c r="N11" s="16">
        <v>3</v>
      </c>
      <c r="O11" s="16">
        <v>2</v>
      </c>
      <c r="P11" s="16">
        <v>3</v>
      </c>
      <c r="Q11" s="16">
        <v>3</v>
      </c>
      <c r="R11" s="16">
        <v>2</v>
      </c>
      <c r="S11" s="16">
        <v>4</v>
      </c>
      <c r="T11" s="16">
        <v>3</v>
      </c>
      <c r="U11" s="16">
        <v>2</v>
      </c>
      <c r="V11" s="16">
        <v>1</v>
      </c>
      <c r="W11" s="4">
        <f t="shared" si="0"/>
        <v>55</v>
      </c>
    </row>
    <row r="12" spans="1:23" x14ac:dyDescent="0.35">
      <c r="A12" s="16">
        <v>11</v>
      </c>
      <c r="B12" s="17" t="s">
        <v>9</v>
      </c>
      <c r="C12" s="16">
        <v>3</v>
      </c>
      <c r="D12" s="16">
        <v>1</v>
      </c>
      <c r="E12" s="16">
        <v>3</v>
      </c>
      <c r="F12" s="16">
        <v>1</v>
      </c>
      <c r="G12" s="16">
        <v>3</v>
      </c>
      <c r="H12" s="16">
        <v>2</v>
      </c>
      <c r="I12" s="16">
        <v>3</v>
      </c>
      <c r="J12" s="16">
        <v>1</v>
      </c>
      <c r="K12" s="16">
        <v>1</v>
      </c>
      <c r="L12" s="16">
        <v>3</v>
      </c>
      <c r="M12" s="16">
        <v>3</v>
      </c>
      <c r="N12" s="16">
        <v>4</v>
      </c>
      <c r="O12" s="16">
        <v>4</v>
      </c>
      <c r="P12" s="16">
        <v>3</v>
      </c>
      <c r="Q12" s="16">
        <v>3</v>
      </c>
      <c r="R12" s="16">
        <v>1</v>
      </c>
      <c r="S12" s="16">
        <v>4</v>
      </c>
      <c r="T12" s="16">
        <v>4</v>
      </c>
      <c r="U12" s="16">
        <v>3</v>
      </c>
      <c r="V12" s="16">
        <v>1</v>
      </c>
      <c r="W12" s="4">
        <f t="shared" si="0"/>
        <v>51</v>
      </c>
    </row>
    <row r="13" spans="1:23" x14ac:dyDescent="0.35">
      <c r="A13" s="16">
        <v>12</v>
      </c>
      <c r="B13" s="17" t="s">
        <v>10</v>
      </c>
      <c r="C13" s="16">
        <v>3</v>
      </c>
      <c r="D13" s="16">
        <v>1</v>
      </c>
      <c r="E13" s="16">
        <v>3</v>
      </c>
      <c r="F13" s="16">
        <v>2</v>
      </c>
      <c r="G13" s="16">
        <v>1</v>
      </c>
      <c r="H13" s="16">
        <v>3</v>
      </c>
      <c r="I13" s="16">
        <v>1</v>
      </c>
      <c r="J13" s="16">
        <v>2</v>
      </c>
      <c r="K13" s="16">
        <v>4</v>
      </c>
      <c r="L13" s="16">
        <v>2</v>
      </c>
      <c r="M13" s="16">
        <v>1</v>
      </c>
      <c r="N13" s="16">
        <v>3</v>
      </c>
      <c r="O13" s="16">
        <v>1</v>
      </c>
      <c r="P13" s="16">
        <v>2</v>
      </c>
      <c r="Q13" s="16">
        <v>4</v>
      </c>
      <c r="R13" s="16">
        <v>3</v>
      </c>
      <c r="S13" s="16">
        <v>4</v>
      </c>
      <c r="T13" s="16">
        <v>3</v>
      </c>
      <c r="U13" s="16">
        <v>4</v>
      </c>
      <c r="V13" s="16">
        <v>1</v>
      </c>
      <c r="W13" s="4">
        <f t="shared" si="0"/>
        <v>48</v>
      </c>
    </row>
    <row r="14" spans="1:23" x14ac:dyDescent="0.35">
      <c r="A14" s="16">
        <v>13</v>
      </c>
      <c r="B14" s="17" t="s">
        <v>11</v>
      </c>
      <c r="C14" s="16">
        <v>3</v>
      </c>
      <c r="D14" s="16">
        <v>1</v>
      </c>
      <c r="E14" s="16">
        <v>2</v>
      </c>
      <c r="F14" s="16">
        <v>3</v>
      </c>
      <c r="G14" s="16">
        <v>1</v>
      </c>
      <c r="H14" s="16">
        <v>3</v>
      </c>
      <c r="I14" s="16">
        <v>4</v>
      </c>
      <c r="J14" s="16">
        <v>2</v>
      </c>
      <c r="K14" s="16">
        <v>3</v>
      </c>
      <c r="L14" s="16">
        <v>4</v>
      </c>
      <c r="M14" s="16">
        <v>3</v>
      </c>
      <c r="N14" s="16">
        <v>3</v>
      </c>
      <c r="O14" s="16">
        <v>4</v>
      </c>
      <c r="P14" s="16">
        <v>4</v>
      </c>
      <c r="Q14" s="16">
        <v>4</v>
      </c>
      <c r="R14" s="16">
        <v>4</v>
      </c>
      <c r="S14" s="16">
        <v>3</v>
      </c>
      <c r="T14" s="16">
        <v>3</v>
      </c>
      <c r="U14" s="16">
        <v>4</v>
      </c>
      <c r="V14" s="16">
        <v>3</v>
      </c>
      <c r="W14" s="4">
        <f t="shared" si="0"/>
        <v>61</v>
      </c>
    </row>
    <row r="15" spans="1:23" x14ac:dyDescent="0.35">
      <c r="A15" s="16">
        <v>14</v>
      </c>
      <c r="B15" s="17" t="s">
        <v>12</v>
      </c>
      <c r="C15" s="16">
        <v>4</v>
      </c>
      <c r="D15" s="16">
        <v>2</v>
      </c>
      <c r="E15" s="16">
        <v>1</v>
      </c>
      <c r="F15" s="16">
        <v>3</v>
      </c>
      <c r="G15" s="16">
        <v>1</v>
      </c>
      <c r="H15" s="16">
        <v>3</v>
      </c>
      <c r="I15" s="16">
        <v>4</v>
      </c>
      <c r="J15" s="16">
        <v>2</v>
      </c>
      <c r="K15" s="16">
        <v>3</v>
      </c>
      <c r="L15" s="16">
        <v>4</v>
      </c>
      <c r="M15" s="16">
        <v>3</v>
      </c>
      <c r="N15" s="16">
        <v>4</v>
      </c>
      <c r="O15" s="16">
        <v>3</v>
      </c>
      <c r="P15" s="16">
        <v>2</v>
      </c>
      <c r="Q15" s="16">
        <v>1</v>
      </c>
      <c r="R15" s="16">
        <v>2</v>
      </c>
      <c r="S15" s="16">
        <v>3</v>
      </c>
      <c r="T15" s="16">
        <v>1</v>
      </c>
      <c r="U15" s="16">
        <v>4</v>
      </c>
      <c r="V15" s="16">
        <v>3</v>
      </c>
      <c r="W15" s="4">
        <f t="shared" si="0"/>
        <v>53</v>
      </c>
    </row>
    <row r="16" spans="1:23" x14ac:dyDescent="0.35">
      <c r="A16" s="16">
        <v>15</v>
      </c>
      <c r="B16" s="17" t="s">
        <v>13</v>
      </c>
      <c r="C16" s="16">
        <v>3</v>
      </c>
      <c r="D16" s="16">
        <v>3</v>
      </c>
      <c r="E16" s="16">
        <v>3</v>
      </c>
      <c r="F16" s="16">
        <v>3</v>
      </c>
      <c r="G16" s="16">
        <v>2</v>
      </c>
      <c r="H16" s="16">
        <v>3</v>
      </c>
      <c r="I16" s="16">
        <v>1</v>
      </c>
      <c r="J16" s="16">
        <v>3</v>
      </c>
      <c r="K16" s="16">
        <v>3</v>
      </c>
      <c r="L16" s="16">
        <v>2</v>
      </c>
      <c r="M16" s="16">
        <v>2</v>
      </c>
      <c r="N16" s="16">
        <v>3</v>
      </c>
      <c r="O16" s="16">
        <v>3</v>
      </c>
      <c r="P16" s="16">
        <v>3</v>
      </c>
      <c r="Q16" s="16">
        <v>3</v>
      </c>
      <c r="R16" s="16">
        <v>3</v>
      </c>
      <c r="S16" s="16">
        <v>2</v>
      </c>
      <c r="T16" s="16">
        <v>4</v>
      </c>
      <c r="U16" s="16">
        <v>1</v>
      </c>
      <c r="V16" s="16">
        <v>3</v>
      </c>
      <c r="W16" s="4">
        <f t="shared" si="0"/>
        <v>53</v>
      </c>
    </row>
    <row r="17" spans="1:23" x14ac:dyDescent="0.35">
      <c r="A17" s="16">
        <v>16</v>
      </c>
      <c r="B17" s="17" t="s">
        <v>14</v>
      </c>
      <c r="C17" s="16">
        <v>3</v>
      </c>
      <c r="D17" s="16">
        <v>4</v>
      </c>
      <c r="E17" s="16">
        <v>3</v>
      </c>
      <c r="F17" s="16">
        <v>2</v>
      </c>
      <c r="G17" s="16">
        <v>2</v>
      </c>
      <c r="H17" s="16">
        <v>3</v>
      </c>
      <c r="I17" s="16">
        <v>2</v>
      </c>
      <c r="J17" s="16">
        <v>2</v>
      </c>
      <c r="K17" s="16">
        <v>3</v>
      </c>
      <c r="L17" s="16">
        <v>2</v>
      </c>
      <c r="M17" s="16">
        <v>2</v>
      </c>
      <c r="N17" s="16">
        <v>3</v>
      </c>
      <c r="O17" s="16">
        <v>2</v>
      </c>
      <c r="P17" s="16">
        <v>2</v>
      </c>
      <c r="Q17" s="16">
        <v>3</v>
      </c>
      <c r="R17" s="16">
        <v>3</v>
      </c>
      <c r="S17" s="16">
        <v>3</v>
      </c>
      <c r="T17" s="16">
        <v>3</v>
      </c>
      <c r="U17" s="16">
        <v>3</v>
      </c>
      <c r="V17" s="16">
        <v>2</v>
      </c>
      <c r="W17" s="4">
        <f t="shared" si="0"/>
        <v>52</v>
      </c>
    </row>
    <row r="18" spans="1:23" x14ac:dyDescent="0.35">
      <c r="A18" s="16">
        <v>17</v>
      </c>
      <c r="B18" s="17" t="s">
        <v>15</v>
      </c>
      <c r="C18" s="16">
        <v>3</v>
      </c>
      <c r="D18" s="16">
        <v>2</v>
      </c>
      <c r="E18" s="16">
        <v>4</v>
      </c>
      <c r="F18" s="16">
        <v>3</v>
      </c>
      <c r="G18" s="16">
        <v>4</v>
      </c>
      <c r="H18" s="16">
        <v>3</v>
      </c>
      <c r="I18" s="16">
        <v>1</v>
      </c>
      <c r="J18" s="16">
        <v>3</v>
      </c>
      <c r="K18" s="16">
        <v>1</v>
      </c>
      <c r="L18" s="16">
        <v>2</v>
      </c>
      <c r="M18" s="16">
        <v>1</v>
      </c>
      <c r="N18" s="16">
        <v>2</v>
      </c>
      <c r="O18" s="16">
        <v>4</v>
      </c>
      <c r="P18" s="16">
        <v>2</v>
      </c>
      <c r="Q18" s="16">
        <v>4</v>
      </c>
      <c r="R18" s="16">
        <v>4</v>
      </c>
      <c r="S18" s="16">
        <v>1</v>
      </c>
      <c r="T18" s="16">
        <v>2</v>
      </c>
      <c r="U18" s="16">
        <v>3</v>
      </c>
      <c r="V18" s="16">
        <v>4</v>
      </c>
      <c r="W18" s="4">
        <f t="shared" si="0"/>
        <v>53</v>
      </c>
    </row>
    <row r="19" spans="1:23" x14ac:dyDescent="0.35">
      <c r="A19" s="16">
        <v>18</v>
      </c>
      <c r="B19" s="17" t="s">
        <v>16</v>
      </c>
      <c r="C19" s="16">
        <v>4</v>
      </c>
      <c r="D19" s="16">
        <v>4</v>
      </c>
      <c r="E19" s="16">
        <v>4</v>
      </c>
      <c r="F19" s="16">
        <v>4</v>
      </c>
      <c r="G19" s="16">
        <v>3</v>
      </c>
      <c r="H19" s="16">
        <v>4</v>
      </c>
      <c r="I19" s="16">
        <v>4</v>
      </c>
      <c r="J19" s="16">
        <v>1</v>
      </c>
      <c r="K19" s="16">
        <v>3</v>
      </c>
      <c r="L19" s="16">
        <v>4</v>
      </c>
      <c r="M19" s="16">
        <v>3</v>
      </c>
      <c r="N19" s="16">
        <v>4</v>
      </c>
      <c r="O19" s="16">
        <v>1</v>
      </c>
      <c r="P19" s="16">
        <v>4</v>
      </c>
      <c r="Q19" s="16">
        <v>4</v>
      </c>
      <c r="R19" s="16">
        <v>4</v>
      </c>
      <c r="S19" s="16">
        <v>1</v>
      </c>
      <c r="T19" s="16">
        <v>4</v>
      </c>
      <c r="U19" s="16">
        <v>1</v>
      </c>
      <c r="V19" s="16">
        <v>1</v>
      </c>
      <c r="W19" s="4">
        <f t="shared" si="0"/>
        <v>62</v>
      </c>
    </row>
    <row r="20" spans="1:23" x14ac:dyDescent="0.35">
      <c r="A20" s="16">
        <v>19</v>
      </c>
      <c r="B20" s="17" t="s">
        <v>55</v>
      </c>
      <c r="C20" s="16">
        <v>3</v>
      </c>
      <c r="D20" s="16">
        <v>3</v>
      </c>
      <c r="E20" s="16">
        <v>3</v>
      </c>
      <c r="F20" s="16">
        <v>3</v>
      </c>
      <c r="G20" s="16">
        <v>4</v>
      </c>
      <c r="H20" s="16">
        <v>4</v>
      </c>
      <c r="I20" s="16">
        <v>4</v>
      </c>
      <c r="J20" s="16">
        <v>2</v>
      </c>
      <c r="K20" s="16">
        <v>4</v>
      </c>
      <c r="L20" s="16">
        <v>4</v>
      </c>
      <c r="M20" s="16">
        <v>4</v>
      </c>
      <c r="N20" s="16">
        <v>4</v>
      </c>
      <c r="O20" s="16">
        <v>2</v>
      </c>
      <c r="P20" s="16">
        <v>4</v>
      </c>
      <c r="Q20" s="16">
        <v>3</v>
      </c>
      <c r="R20" s="16">
        <v>1</v>
      </c>
      <c r="S20" s="16">
        <v>3</v>
      </c>
      <c r="T20" s="16">
        <v>1</v>
      </c>
      <c r="U20" s="16">
        <v>2</v>
      </c>
      <c r="V20" s="16">
        <v>2</v>
      </c>
      <c r="W20" s="4">
        <f t="shared" si="0"/>
        <v>60</v>
      </c>
    </row>
    <row r="21" spans="1:23" x14ac:dyDescent="0.35">
      <c r="A21" s="16">
        <v>20</v>
      </c>
      <c r="B21" s="17" t="s">
        <v>18</v>
      </c>
      <c r="C21" s="16">
        <v>3</v>
      </c>
      <c r="D21" s="16">
        <v>3</v>
      </c>
      <c r="E21" s="16">
        <v>3</v>
      </c>
      <c r="F21" s="16">
        <v>3</v>
      </c>
      <c r="G21" s="16">
        <v>4</v>
      </c>
      <c r="H21" s="16">
        <v>3</v>
      </c>
      <c r="I21" s="16">
        <v>3</v>
      </c>
      <c r="J21" s="16">
        <v>2</v>
      </c>
      <c r="K21" s="16">
        <v>3</v>
      </c>
      <c r="L21" s="16">
        <v>3</v>
      </c>
      <c r="M21" s="16">
        <v>3</v>
      </c>
      <c r="N21" s="16">
        <v>3</v>
      </c>
      <c r="O21" s="16">
        <v>3</v>
      </c>
      <c r="P21" s="16">
        <v>3</v>
      </c>
      <c r="Q21" s="16">
        <v>3</v>
      </c>
      <c r="R21" s="16">
        <v>3</v>
      </c>
      <c r="S21" s="16">
        <v>4</v>
      </c>
      <c r="T21" s="16">
        <v>2</v>
      </c>
      <c r="U21" s="16">
        <v>1</v>
      </c>
      <c r="V21" s="16">
        <v>4</v>
      </c>
      <c r="W21" s="4">
        <f t="shared" si="0"/>
        <v>59</v>
      </c>
    </row>
    <row r="22" spans="1:23" x14ac:dyDescent="0.35">
      <c r="A22" s="16">
        <v>21</v>
      </c>
      <c r="B22" s="17" t="s">
        <v>19</v>
      </c>
      <c r="C22" s="16">
        <v>3</v>
      </c>
      <c r="D22" s="16">
        <v>3</v>
      </c>
      <c r="E22" s="16">
        <v>3</v>
      </c>
      <c r="F22" s="16">
        <v>2</v>
      </c>
      <c r="G22" s="16">
        <v>2</v>
      </c>
      <c r="H22" s="16">
        <v>4</v>
      </c>
      <c r="I22" s="16">
        <v>3</v>
      </c>
      <c r="J22" s="16">
        <v>2</v>
      </c>
      <c r="K22" s="16">
        <v>1</v>
      </c>
      <c r="L22" s="16">
        <v>4</v>
      </c>
      <c r="M22" s="16">
        <v>2</v>
      </c>
      <c r="N22" s="16">
        <v>3</v>
      </c>
      <c r="O22" s="16">
        <v>3</v>
      </c>
      <c r="P22" s="16">
        <v>2</v>
      </c>
      <c r="Q22" s="16">
        <v>2</v>
      </c>
      <c r="R22" s="16">
        <v>3</v>
      </c>
      <c r="S22" s="16">
        <v>3</v>
      </c>
      <c r="T22" s="16">
        <v>2</v>
      </c>
      <c r="U22" s="16">
        <v>4</v>
      </c>
      <c r="V22" s="16">
        <v>2</v>
      </c>
      <c r="W22" s="4">
        <f t="shared" si="0"/>
        <v>53</v>
      </c>
    </row>
    <row r="23" spans="1:23" x14ac:dyDescent="0.35">
      <c r="A23" s="16">
        <v>22</v>
      </c>
      <c r="B23" s="17" t="s">
        <v>20</v>
      </c>
      <c r="C23" s="16">
        <v>3</v>
      </c>
      <c r="D23" s="16">
        <v>2</v>
      </c>
      <c r="E23" s="16">
        <v>3</v>
      </c>
      <c r="F23" s="16">
        <v>3</v>
      </c>
      <c r="G23" s="16">
        <v>3</v>
      </c>
      <c r="H23" s="16">
        <v>3</v>
      </c>
      <c r="I23" s="16">
        <v>3</v>
      </c>
      <c r="J23" s="16">
        <v>3</v>
      </c>
      <c r="K23" s="16">
        <v>3</v>
      </c>
      <c r="L23" s="16">
        <v>2</v>
      </c>
      <c r="M23" s="16">
        <v>3</v>
      </c>
      <c r="N23" s="16">
        <v>3</v>
      </c>
      <c r="O23" s="16">
        <v>3</v>
      </c>
      <c r="P23" s="16">
        <v>3</v>
      </c>
      <c r="Q23" s="16">
        <v>3</v>
      </c>
      <c r="R23" s="16">
        <v>3</v>
      </c>
      <c r="S23" s="16">
        <v>3</v>
      </c>
      <c r="T23" s="16">
        <v>3</v>
      </c>
      <c r="U23" s="16">
        <v>3</v>
      </c>
      <c r="V23" s="16">
        <v>3</v>
      </c>
      <c r="W23" s="4">
        <f t="shared" si="0"/>
        <v>58</v>
      </c>
    </row>
    <row r="24" spans="1:23" x14ac:dyDescent="0.35">
      <c r="A24" s="16">
        <v>23</v>
      </c>
      <c r="B24" s="17" t="s">
        <v>21</v>
      </c>
      <c r="C24" s="16">
        <v>3</v>
      </c>
      <c r="D24" s="16">
        <v>3</v>
      </c>
      <c r="E24" s="16">
        <v>4</v>
      </c>
      <c r="F24" s="16">
        <v>3</v>
      </c>
      <c r="G24" s="16">
        <v>2</v>
      </c>
      <c r="H24" s="16">
        <v>2</v>
      </c>
      <c r="I24" s="16">
        <v>2</v>
      </c>
      <c r="J24" s="16">
        <v>2</v>
      </c>
      <c r="K24" s="16">
        <v>3</v>
      </c>
      <c r="L24" s="16">
        <v>2</v>
      </c>
      <c r="M24" s="16">
        <v>2</v>
      </c>
      <c r="N24" s="16">
        <v>4</v>
      </c>
      <c r="O24" s="16">
        <v>1</v>
      </c>
      <c r="P24" s="16">
        <v>2</v>
      </c>
      <c r="Q24" s="16">
        <v>2</v>
      </c>
      <c r="R24" s="16">
        <v>3</v>
      </c>
      <c r="S24" s="16">
        <v>3</v>
      </c>
      <c r="T24" s="16">
        <v>3</v>
      </c>
      <c r="U24" s="16">
        <v>3</v>
      </c>
      <c r="V24" s="16">
        <v>2</v>
      </c>
      <c r="W24" s="4">
        <f t="shared" si="0"/>
        <v>51</v>
      </c>
    </row>
    <row r="25" spans="1:23" x14ac:dyDescent="0.35">
      <c r="A25" s="16">
        <v>24</v>
      </c>
      <c r="B25" s="17" t="s">
        <v>22</v>
      </c>
      <c r="C25" s="16">
        <v>3</v>
      </c>
      <c r="D25" s="16">
        <v>2</v>
      </c>
      <c r="E25" s="16">
        <v>3</v>
      </c>
      <c r="F25" s="16">
        <v>3</v>
      </c>
      <c r="G25" s="16">
        <v>3</v>
      </c>
      <c r="H25" s="16">
        <v>3</v>
      </c>
      <c r="I25" s="16">
        <v>3</v>
      </c>
      <c r="J25" s="16">
        <v>3</v>
      </c>
      <c r="K25" s="16">
        <v>3</v>
      </c>
      <c r="L25" s="16">
        <v>2</v>
      </c>
      <c r="M25" s="16">
        <v>3</v>
      </c>
      <c r="N25" s="16">
        <v>3</v>
      </c>
      <c r="O25" s="16">
        <v>3</v>
      </c>
      <c r="P25" s="16">
        <v>3</v>
      </c>
      <c r="Q25" s="16">
        <v>3</v>
      </c>
      <c r="R25" s="16">
        <v>3</v>
      </c>
      <c r="S25" s="16">
        <v>3</v>
      </c>
      <c r="T25" s="16">
        <v>3</v>
      </c>
      <c r="U25" s="16">
        <v>3</v>
      </c>
      <c r="V25" s="16">
        <v>3</v>
      </c>
      <c r="W25" s="4">
        <f t="shared" si="0"/>
        <v>58</v>
      </c>
    </row>
    <row r="26" spans="1:23" x14ac:dyDescent="0.35">
      <c r="A26" s="16">
        <v>25</v>
      </c>
      <c r="B26" s="17" t="s">
        <v>23</v>
      </c>
      <c r="C26" s="16">
        <v>3</v>
      </c>
      <c r="D26" s="16">
        <v>4</v>
      </c>
      <c r="E26" s="16">
        <v>3</v>
      </c>
      <c r="F26" s="16">
        <v>2</v>
      </c>
      <c r="G26" s="16">
        <v>2</v>
      </c>
      <c r="H26" s="16">
        <v>3</v>
      </c>
      <c r="I26" s="16">
        <v>2</v>
      </c>
      <c r="J26" s="16">
        <v>2</v>
      </c>
      <c r="K26" s="16">
        <v>3</v>
      </c>
      <c r="L26" s="16">
        <v>2</v>
      </c>
      <c r="M26" s="16">
        <v>2</v>
      </c>
      <c r="N26" s="16">
        <v>3</v>
      </c>
      <c r="O26" s="16">
        <v>2</v>
      </c>
      <c r="P26" s="16">
        <v>2</v>
      </c>
      <c r="Q26" s="16">
        <v>3</v>
      </c>
      <c r="R26" s="16">
        <v>3</v>
      </c>
      <c r="S26" s="16">
        <v>3</v>
      </c>
      <c r="T26" s="16">
        <v>3</v>
      </c>
      <c r="U26" s="16">
        <v>3</v>
      </c>
      <c r="V26" s="16">
        <v>2</v>
      </c>
      <c r="W26" s="4">
        <f t="shared" si="0"/>
        <v>52</v>
      </c>
    </row>
    <row r="27" spans="1:23" x14ac:dyDescent="0.35">
      <c r="A27" s="16">
        <v>26</v>
      </c>
      <c r="B27" s="17" t="s">
        <v>24</v>
      </c>
      <c r="C27" s="16">
        <v>3</v>
      </c>
      <c r="D27" s="16">
        <v>3</v>
      </c>
      <c r="E27" s="16">
        <v>4</v>
      </c>
      <c r="F27" s="16">
        <v>4</v>
      </c>
      <c r="G27" s="16">
        <v>2</v>
      </c>
      <c r="H27" s="16">
        <v>4</v>
      </c>
      <c r="I27" s="16">
        <v>2</v>
      </c>
      <c r="J27" s="16">
        <v>4</v>
      </c>
      <c r="K27" s="16">
        <v>3</v>
      </c>
      <c r="L27" s="16">
        <v>3</v>
      </c>
      <c r="M27" s="16">
        <v>1</v>
      </c>
      <c r="N27" s="16">
        <v>1</v>
      </c>
      <c r="O27" s="16">
        <v>2</v>
      </c>
      <c r="P27" s="16">
        <v>4</v>
      </c>
      <c r="Q27" s="16">
        <v>2</v>
      </c>
      <c r="R27" s="16">
        <v>4</v>
      </c>
      <c r="S27" s="16">
        <v>2</v>
      </c>
      <c r="T27" s="16">
        <v>3</v>
      </c>
      <c r="U27" s="16">
        <v>4</v>
      </c>
      <c r="V27" s="16">
        <v>4</v>
      </c>
      <c r="W27" s="4">
        <f t="shared" si="0"/>
        <v>59</v>
      </c>
    </row>
    <row r="28" spans="1:23" x14ac:dyDescent="0.35">
      <c r="A28" s="16">
        <v>27</v>
      </c>
      <c r="B28" s="17" t="s">
        <v>25</v>
      </c>
      <c r="C28" s="16">
        <v>3</v>
      </c>
      <c r="D28" s="16">
        <v>3</v>
      </c>
      <c r="E28" s="16">
        <v>4</v>
      </c>
      <c r="F28" s="16">
        <v>3</v>
      </c>
      <c r="G28" s="16">
        <v>4</v>
      </c>
      <c r="H28" s="16">
        <v>3</v>
      </c>
      <c r="I28" s="16">
        <v>1</v>
      </c>
      <c r="J28" s="16">
        <v>3</v>
      </c>
      <c r="K28" s="16">
        <v>3</v>
      </c>
      <c r="L28" s="16">
        <v>2</v>
      </c>
      <c r="M28" s="16">
        <v>1</v>
      </c>
      <c r="N28" s="16">
        <v>2</v>
      </c>
      <c r="O28" s="16">
        <v>1</v>
      </c>
      <c r="P28" s="16">
        <v>4</v>
      </c>
      <c r="Q28" s="16">
        <v>4</v>
      </c>
      <c r="R28" s="16">
        <v>4</v>
      </c>
      <c r="S28" s="16">
        <v>3</v>
      </c>
      <c r="T28" s="16">
        <v>1</v>
      </c>
      <c r="U28" s="16">
        <v>2</v>
      </c>
      <c r="V28" s="16">
        <v>2</v>
      </c>
      <c r="W28" s="4">
        <f t="shared" si="0"/>
        <v>53</v>
      </c>
    </row>
    <row r="29" spans="1:23" x14ac:dyDescent="0.35">
      <c r="A29" s="16">
        <v>28</v>
      </c>
      <c r="B29" s="17" t="s">
        <v>56</v>
      </c>
      <c r="C29" s="16">
        <v>3</v>
      </c>
      <c r="D29" s="16">
        <v>3</v>
      </c>
      <c r="E29" s="16">
        <v>2</v>
      </c>
      <c r="F29" s="16">
        <v>1</v>
      </c>
      <c r="G29" s="16">
        <v>3</v>
      </c>
      <c r="H29" s="16">
        <v>1</v>
      </c>
      <c r="I29" s="16">
        <v>4</v>
      </c>
      <c r="J29" s="16">
        <v>2</v>
      </c>
      <c r="K29" s="16">
        <v>1</v>
      </c>
      <c r="L29" s="16">
        <v>2</v>
      </c>
      <c r="M29" s="16">
        <v>3</v>
      </c>
      <c r="N29" s="16">
        <v>1</v>
      </c>
      <c r="O29" s="16">
        <v>3</v>
      </c>
      <c r="P29" s="16">
        <v>4</v>
      </c>
      <c r="Q29" s="16">
        <v>4</v>
      </c>
      <c r="R29" s="16">
        <v>2</v>
      </c>
      <c r="S29" s="16">
        <v>2</v>
      </c>
      <c r="T29" s="16">
        <v>4</v>
      </c>
      <c r="U29" s="16">
        <v>1</v>
      </c>
      <c r="V29" s="16">
        <v>2</v>
      </c>
      <c r="W29" s="4">
        <f t="shared" si="0"/>
        <v>48</v>
      </c>
    </row>
    <row r="30" spans="1:23" x14ac:dyDescent="0.35">
      <c r="A30" s="16">
        <v>29</v>
      </c>
      <c r="B30" s="17" t="s">
        <v>27</v>
      </c>
      <c r="C30" s="16">
        <v>3</v>
      </c>
      <c r="D30" s="16">
        <v>4</v>
      </c>
      <c r="E30" s="16">
        <v>2</v>
      </c>
      <c r="F30" s="16">
        <v>2</v>
      </c>
      <c r="G30" s="16">
        <v>2</v>
      </c>
      <c r="H30" s="16">
        <v>3</v>
      </c>
      <c r="I30" s="16">
        <v>2</v>
      </c>
      <c r="J30" s="16">
        <v>2</v>
      </c>
      <c r="K30" s="16">
        <v>3</v>
      </c>
      <c r="L30" s="16">
        <v>2</v>
      </c>
      <c r="M30" s="16">
        <v>2</v>
      </c>
      <c r="N30" s="16">
        <v>3</v>
      </c>
      <c r="O30" s="16">
        <v>2</v>
      </c>
      <c r="P30" s="16">
        <v>2</v>
      </c>
      <c r="Q30" s="16">
        <v>3</v>
      </c>
      <c r="R30" s="16">
        <v>3</v>
      </c>
      <c r="S30" s="16">
        <v>3</v>
      </c>
      <c r="T30" s="16">
        <v>3</v>
      </c>
      <c r="U30" s="16">
        <v>3</v>
      </c>
      <c r="V30" s="16">
        <v>2</v>
      </c>
      <c r="W30" s="4">
        <f t="shared" si="0"/>
        <v>51</v>
      </c>
    </row>
    <row r="31" spans="1:23" x14ac:dyDescent="0.35">
      <c r="A31" s="16">
        <v>30</v>
      </c>
      <c r="B31" s="17" t="s">
        <v>50</v>
      </c>
      <c r="C31" s="16">
        <v>3</v>
      </c>
      <c r="D31" s="16">
        <v>2</v>
      </c>
      <c r="E31" s="16">
        <v>3</v>
      </c>
      <c r="F31" s="16">
        <v>2</v>
      </c>
      <c r="G31" s="16">
        <v>2</v>
      </c>
      <c r="H31" s="16">
        <v>3</v>
      </c>
      <c r="I31" s="16">
        <v>2</v>
      </c>
      <c r="J31" s="16">
        <v>2</v>
      </c>
      <c r="K31" s="16">
        <v>3</v>
      </c>
      <c r="L31" s="16">
        <v>2</v>
      </c>
      <c r="M31" s="16">
        <v>2</v>
      </c>
      <c r="N31" s="16">
        <v>3</v>
      </c>
      <c r="O31" s="16">
        <v>2</v>
      </c>
      <c r="P31" s="16">
        <v>2</v>
      </c>
      <c r="Q31" s="16">
        <v>3</v>
      </c>
      <c r="R31" s="16">
        <v>3</v>
      </c>
      <c r="S31" s="16">
        <v>3</v>
      </c>
      <c r="T31" s="16">
        <v>3</v>
      </c>
      <c r="U31" s="16">
        <v>3</v>
      </c>
      <c r="V31" s="16">
        <v>2</v>
      </c>
      <c r="W31" s="4">
        <f t="shared" si="0"/>
        <v>50</v>
      </c>
    </row>
    <row r="32" spans="1:23" x14ac:dyDescent="0.35">
      <c r="A32" s="16">
        <v>31</v>
      </c>
      <c r="B32" s="17" t="s">
        <v>29</v>
      </c>
      <c r="C32" s="16">
        <v>3</v>
      </c>
      <c r="D32" s="16">
        <v>4</v>
      </c>
      <c r="E32" s="16">
        <v>3</v>
      </c>
      <c r="F32" s="16">
        <v>2</v>
      </c>
      <c r="G32" s="16">
        <v>2</v>
      </c>
      <c r="H32" s="16">
        <v>3</v>
      </c>
      <c r="I32" s="16">
        <v>2</v>
      </c>
      <c r="J32" s="16">
        <v>2</v>
      </c>
      <c r="K32" s="16">
        <v>3</v>
      </c>
      <c r="L32" s="16">
        <v>2</v>
      </c>
      <c r="M32" s="16">
        <v>2</v>
      </c>
      <c r="N32" s="16">
        <v>3</v>
      </c>
      <c r="O32" s="16">
        <v>2</v>
      </c>
      <c r="P32" s="16">
        <v>2</v>
      </c>
      <c r="Q32" s="16">
        <v>3</v>
      </c>
      <c r="R32" s="16">
        <v>3</v>
      </c>
      <c r="S32" s="16">
        <v>3</v>
      </c>
      <c r="T32" s="16">
        <v>3</v>
      </c>
      <c r="U32" s="16">
        <v>3</v>
      </c>
      <c r="V32" s="16">
        <v>2</v>
      </c>
      <c r="W32" s="4">
        <f t="shared" si="0"/>
        <v>52</v>
      </c>
    </row>
    <row r="33" spans="1:23" x14ac:dyDescent="0.35">
      <c r="A33" s="16">
        <v>32</v>
      </c>
      <c r="B33" s="17" t="s">
        <v>30</v>
      </c>
      <c r="C33" s="16">
        <v>3</v>
      </c>
      <c r="D33" s="16">
        <v>2</v>
      </c>
      <c r="E33" s="16">
        <v>3</v>
      </c>
      <c r="F33" s="16">
        <v>3</v>
      </c>
      <c r="G33" s="16">
        <v>2</v>
      </c>
      <c r="H33" s="16">
        <v>1</v>
      </c>
      <c r="I33" s="16">
        <v>4</v>
      </c>
      <c r="J33" s="16">
        <v>4</v>
      </c>
      <c r="K33" s="16">
        <v>3</v>
      </c>
      <c r="L33" s="16">
        <v>3</v>
      </c>
      <c r="M33" s="16">
        <v>4</v>
      </c>
      <c r="N33" s="16">
        <v>3</v>
      </c>
      <c r="O33" s="16">
        <v>4</v>
      </c>
      <c r="P33" s="16">
        <v>3</v>
      </c>
      <c r="Q33" s="16">
        <v>4</v>
      </c>
      <c r="R33" s="16">
        <v>2</v>
      </c>
      <c r="S33" s="16">
        <v>2</v>
      </c>
      <c r="T33" s="16">
        <v>2</v>
      </c>
      <c r="U33" s="16">
        <v>4</v>
      </c>
      <c r="V33" s="16">
        <v>4</v>
      </c>
      <c r="W33" s="4">
        <f t="shared" si="0"/>
        <v>60</v>
      </c>
    </row>
    <row r="34" spans="1:23" x14ac:dyDescent="0.35">
      <c r="A34" s="16">
        <v>33</v>
      </c>
      <c r="B34" s="17" t="s">
        <v>57</v>
      </c>
      <c r="C34" s="16">
        <v>3</v>
      </c>
      <c r="D34" s="16">
        <v>3</v>
      </c>
      <c r="E34" s="16">
        <v>3</v>
      </c>
      <c r="F34" s="16">
        <v>2</v>
      </c>
      <c r="G34" s="16">
        <v>3</v>
      </c>
      <c r="H34" s="16">
        <v>3</v>
      </c>
      <c r="I34" s="16">
        <v>3</v>
      </c>
      <c r="J34" s="16">
        <v>3</v>
      </c>
      <c r="K34" s="16">
        <v>3</v>
      </c>
      <c r="L34" s="16">
        <v>3</v>
      </c>
      <c r="M34" s="16">
        <v>3</v>
      </c>
      <c r="N34" s="16">
        <v>3</v>
      </c>
      <c r="O34" s="16">
        <v>3</v>
      </c>
      <c r="P34" s="16">
        <v>3</v>
      </c>
      <c r="Q34" s="16">
        <v>3</v>
      </c>
      <c r="R34" s="16">
        <v>3</v>
      </c>
      <c r="S34" s="16">
        <v>3</v>
      </c>
      <c r="T34" s="16">
        <v>3</v>
      </c>
      <c r="U34" s="16">
        <v>3</v>
      </c>
      <c r="V34" s="16">
        <v>2</v>
      </c>
      <c r="W34" s="4">
        <f t="shared" si="0"/>
        <v>58</v>
      </c>
    </row>
    <row r="35" spans="1:23" x14ac:dyDescent="0.35">
      <c r="A35" s="16">
        <v>34</v>
      </c>
      <c r="B35" s="17" t="s">
        <v>32</v>
      </c>
      <c r="C35" s="16">
        <v>3</v>
      </c>
      <c r="D35" s="16">
        <v>3</v>
      </c>
      <c r="E35" s="16">
        <v>1</v>
      </c>
      <c r="F35" s="16">
        <v>4</v>
      </c>
      <c r="G35" s="16">
        <v>4</v>
      </c>
      <c r="H35" s="16">
        <v>1</v>
      </c>
      <c r="I35" s="16">
        <v>3</v>
      </c>
      <c r="J35" s="16">
        <v>3</v>
      </c>
      <c r="K35" s="16">
        <v>1</v>
      </c>
      <c r="L35" s="16">
        <v>4</v>
      </c>
      <c r="M35" s="16">
        <v>4</v>
      </c>
      <c r="N35" s="16">
        <v>1</v>
      </c>
      <c r="O35" s="16">
        <v>3</v>
      </c>
      <c r="P35" s="16">
        <v>3</v>
      </c>
      <c r="Q35" s="16">
        <v>2</v>
      </c>
      <c r="R35" s="16">
        <v>1</v>
      </c>
      <c r="S35" s="16">
        <v>2</v>
      </c>
      <c r="T35" s="16">
        <v>2</v>
      </c>
      <c r="U35" s="16">
        <v>2</v>
      </c>
      <c r="V35" s="16">
        <v>4</v>
      </c>
      <c r="W35" s="4">
        <f t="shared" si="0"/>
        <v>51</v>
      </c>
    </row>
    <row r="36" spans="1:23" x14ac:dyDescent="0.35">
      <c r="A36" s="16">
        <v>35</v>
      </c>
      <c r="B36" s="17" t="s">
        <v>33</v>
      </c>
      <c r="C36" s="16">
        <v>3</v>
      </c>
      <c r="D36" s="16">
        <v>2</v>
      </c>
      <c r="E36" s="16">
        <v>3</v>
      </c>
      <c r="F36" s="16">
        <v>3</v>
      </c>
      <c r="G36" s="16">
        <v>2</v>
      </c>
      <c r="H36" s="16">
        <v>3</v>
      </c>
      <c r="I36" s="16">
        <v>3</v>
      </c>
      <c r="J36" s="16">
        <v>2</v>
      </c>
      <c r="K36" s="16">
        <v>3</v>
      </c>
      <c r="L36" s="16">
        <v>2</v>
      </c>
      <c r="M36" s="16">
        <v>2</v>
      </c>
      <c r="N36" s="16">
        <v>3</v>
      </c>
      <c r="O36" s="16">
        <v>3</v>
      </c>
      <c r="P36" s="16">
        <v>3</v>
      </c>
      <c r="Q36" s="16">
        <v>3</v>
      </c>
      <c r="R36" s="16">
        <v>3</v>
      </c>
      <c r="S36" s="16">
        <v>3</v>
      </c>
      <c r="T36" s="16">
        <v>3</v>
      </c>
      <c r="U36" s="16">
        <v>3</v>
      </c>
      <c r="V36" s="16">
        <v>3</v>
      </c>
      <c r="W36" s="4">
        <f t="shared" si="0"/>
        <v>55</v>
      </c>
    </row>
    <row r="37" spans="1:23" x14ac:dyDescent="0.35">
      <c r="A37" s="16">
        <v>36</v>
      </c>
      <c r="B37" s="17" t="s">
        <v>34</v>
      </c>
      <c r="C37" s="16">
        <v>3</v>
      </c>
      <c r="D37" s="16">
        <v>2</v>
      </c>
      <c r="E37" s="16">
        <v>3</v>
      </c>
      <c r="F37" s="16">
        <v>3</v>
      </c>
      <c r="G37" s="16">
        <v>2</v>
      </c>
      <c r="H37" s="16">
        <v>4</v>
      </c>
      <c r="I37" s="16">
        <v>3</v>
      </c>
      <c r="J37" s="16">
        <v>3</v>
      </c>
      <c r="K37" s="16">
        <v>3</v>
      </c>
      <c r="L37" s="16">
        <v>4</v>
      </c>
      <c r="M37" s="16">
        <v>4</v>
      </c>
      <c r="N37" s="16">
        <v>3</v>
      </c>
      <c r="O37" s="16">
        <v>1</v>
      </c>
      <c r="P37" s="16">
        <v>2</v>
      </c>
      <c r="Q37" s="16">
        <v>2</v>
      </c>
      <c r="R37" s="16">
        <v>3</v>
      </c>
      <c r="S37" s="16">
        <v>4</v>
      </c>
      <c r="T37" s="16">
        <v>4</v>
      </c>
      <c r="U37" s="16">
        <v>3</v>
      </c>
      <c r="V37" s="16">
        <v>3</v>
      </c>
      <c r="W37" s="4">
        <f t="shared" si="0"/>
        <v>59</v>
      </c>
    </row>
    <row r="38" spans="1:23" x14ac:dyDescent="0.35">
      <c r="A38" s="16">
        <v>37</v>
      </c>
      <c r="B38" s="17" t="s">
        <v>35</v>
      </c>
      <c r="C38" s="16">
        <v>3</v>
      </c>
      <c r="D38" s="16">
        <v>3</v>
      </c>
      <c r="E38" s="16">
        <v>4</v>
      </c>
      <c r="F38" s="16">
        <v>3</v>
      </c>
      <c r="G38" s="16">
        <v>4</v>
      </c>
      <c r="H38" s="16">
        <v>3</v>
      </c>
      <c r="I38" s="16">
        <v>4</v>
      </c>
      <c r="J38" s="16">
        <v>4</v>
      </c>
      <c r="K38" s="16">
        <v>3</v>
      </c>
      <c r="L38" s="16">
        <v>2</v>
      </c>
      <c r="M38" s="16">
        <v>4</v>
      </c>
      <c r="N38" s="16">
        <v>2</v>
      </c>
      <c r="O38" s="16">
        <v>4</v>
      </c>
      <c r="P38" s="16">
        <v>3</v>
      </c>
      <c r="Q38" s="16">
        <v>2</v>
      </c>
      <c r="R38" s="16">
        <v>3</v>
      </c>
      <c r="S38" s="16">
        <v>2</v>
      </c>
      <c r="T38" s="16">
        <v>1</v>
      </c>
      <c r="U38" s="16">
        <v>1</v>
      </c>
      <c r="V38" s="16">
        <v>2</v>
      </c>
      <c r="W38" s="4">
        <f t="shared" si="0"/>
        <v>57</v>
      </c>
    </row>
    <row r="39" spans="1:23" x14ac:dyDescent="0.35">
      <c r="A39" s="16">
        <v>38</v>
      </c>
      <c r="B39" s="17" t="s">
        <v>36</v>
      </c>
      <c r="C39" s="16">
        <v>1</v>
      </c>
      <c r="D39" s="16">
        <v>1</v>
      </c>
      <c r="E39" s="16">
        <v>3</v>
      </c>
      <c r="F39" s="16">
        <v>2</v>
      </c>
      <c r="G39" s="16">
        <v>3</v>
      </c>
      <c r="H39" s="16">
        <v>1</v>
      </c>
      <c r="I39" s="16">
        <v>2</v>
      </c>
      <c r="J39" s="16">
        <v>4</v>
      </c>
      <c r="K39" s="16">
        <v>4</v>
      </c>
      <c r="L39" s="16">
        <v>3</v>
      </c>
      <c r="M39" s="16">
        <v>4</v>
      </c>
      <c r="N39" s="16">
        <v>3</v>
      </c>
      <c r="O39" s="16">
        <v>3</v>
      </c>
      <c r="P39" s="16">
        <v>4</v>
      </c>
      <c r="Q39" s="16">
        <v>2</v>
      </c>
      <c r="R39" s="16">
        <v>4</v>
      </c>
      <c r="S39" s="16">
        <v>4</v>
      </c>
      <c r="T39" s="16">
        <v>4</v>
      </c>
      <c r="U39" s="16">
        <v>2</v>
      </c>
      <c r="V39" s="16">
        <v>3</v>
      </c>
      <c r="W39" s="4">
        <f t="shared" si="0"/>
        <v>57</v>
      </c>
    </row>
    <row r="40" spans="1:23" x14ac:dyDescent="0.35">
      <c r="A40" s="16">
        <v>39</v>
      </c>
      <c r="B40" s="17" t="s">
        <v>37</v>
      </c>
      <c r="C40" s="16">
        <v>3</v>
      </c>
      <c r="D40" s="16">
        <v>3</v>
      </c>
      <c r="E40" s="16">
        <v>3</v>
      </c>
      <c r="F40" s="16">
        <v>3</v>
      </c>
      <c r="G40" s="16">
        <v>4</v>
      </c>
      <c r="H40" s="16">
        <v>3</v>
      </c>
      <c r="I40" s="16">
        <v>3</v>
      </c>
      <c r="J40" s="16">
        <v>2</v>
      </c>
      <c r="K40" s="16">
        <v>3</v>
      </c>
      <c r="L40" s="16">
        <v>3</v>
      </c>
      <c r="M40" s="16">
        <v>3</v>
      </c>
      <c r="N40" s="16">
        <v>3</v>
      </c>
      <c r="O40" s="16">
        <v>3</v>
      </c>
      <c r="P40" s="16">
        <v>3</v>
      </c>
      <c r="Q40" s="16">
        <v>3</v>
      </c>
      <c r="R40" s="16">
        <v>2</v>
      </c>
      <c r="S40" s="16">
        <v>3</v>
      </c>
      <c r="T40" s="16">
        <v>1</v>
      </c>
      <c r="U40" s="16">
        <v>2</v>
      </c>
      <c r="V40" s="16">
        <v>3</v>
      </c>
      <c r="W40" s="4">
        <f t="shared" si="0"/>
        <v>56</v>
      </c>
    </row>
    <row r="41" spans="1:23" x14ac:dyDescent="0.35">
      <c r="A41" s="16">
        <v>40</v>
      </c>
      <c r="B41" s="17" t="s">
        <v>58</v>
      </c>
      <c r="C41" s="16">
        <v>3</v>
      </c>
      <c r="D41" s="16">
        <v>1</v>
      </c>
      <c r="E41" s="16">
        <v>3</v>
      </c>
      <c r="F41" s="16">
        <v>2</v>
      </c>
      <c r="G41" s="16">
        <v>1</v>
      </c>
      <c r="H41" s="16">
        <v>3</v>
      </c>
      <c r="I41" s="16">
        <v>1</v>
      </c>
      <c r="J41" s="16">
        <v>4</v>
      </c>
      <c r="K41" s="16">
        <v>2</v>
      </c>
      <c r="L41" s="16">
        <v>1</v>
      </c>
      <c r="M41" s="16">
        <v>4</v>
      </c>
      <c r="N41" s="16">
        <v>2</v>
      </c>
      <c r="O41" s="16">
        <v>1</v>
      </c>
      <c r="P41" s="16">
        <v>4</v>
      </c>
      <c r="Q41" s="16">
        <v>4</v>
      </c>
      <c r="R41" s="16">
        <v>4</v>
      </c>
      <c r="S41" s="16">
        <v>1</v>
      </c>
      <c r="T41" s="16">
        <v>4</v>
      </c>
      <c r="U41" s="16">
        <v>1</v>
      </c>
      <c r="V41" s="16">
        <v>1</v>
      </c>
      <c r="W41" s="4">
        <f t="shared" si="0"/>
        <v>47</v>
      </c>
    </row>
    <row r="42" spans="1:23" x14ac:dyDescent="0.35">
      <c r="A42" s="16">
        <v>41</v>
      </c>
      <c r="B42" s="17" t="s">
        <v>39</v>
      </c>
      <c r="C42" s="16">
        <v>4</v>
      </c>
      <c r="D42" s="16">
        <v>4</v>
      </c>
      <c r="E42" s="16">
        <v>4</v>
      </c>
      <c r="F42" s="16">
        <v>3</v>
      </c>
      <c r="G42" s="16">
        <v>2</v>
      </c>
      <c r="H42" s="16">
        <v>3</v>
      </c>
      <c r="I42" s="16">
        <v>4</v>
      </c>
      <c r="J42" s="16">
        <v>3</v>
      </c>
      <c r="K42" s="16">
        <v>3</v>
      </c>
      <c r="L42" s="16">
        <v>4</v>
      </c>
      <c r="M42" s="16">
        <v>4</v>
      </c>
      <c r="N42" s="16">
        <v>3</v>
      </c>
      <c r="O42" s="16">
        <v>4</v>
      </c>
      <c r="P42" s="16">
        <v>4</v>
      </c>
      <c r="Q42" s="16">
        <v>2</v>
      </c>
      <c r="R42" s="16">
        <v>3</v>
      </c>
      <c r="S42" s="16">
        <v>4</v>
      </c>
      <c r="T42" s="16">
        <v>3</v>
      </c>
      <c r="U42" s="16">
        <v>3</v>
      </c>
      <c r="V42" s="16">
        <v>4</v>
      </c>
      <c r="W42" s="4">
        <f t="shared" si="0"/>
        <v>68</v>
      </c>
    </row>
    <row r="43" spans="1:23" x14ac:dyDescent="0.35">
      <c r="A43" s="82">
        <v>42</v>
      </c>
      <c r="B43" s="83" t="s">
        <v>40</v>
      </c>
      <c r="C43" s="16">
        <v>3</v>
      </c>
      <c r="D43" s="16">
        <v>3</v>
      </c>
      <c r="E43" s="16">
        <v>3</v>
      </c>
      <c r="F43" s="16">
        <v>2</v>
      </c>
      <c r="G43" s="16">
        <v>3</v>
      </c>
      <c r="H43" s="16">
        <v>4</v>
      </c>
      <c r="I43" s="16">
        <v>4</v>
      </c>
      <c r="J43" s="16">
        <v>2</v>
      </c>
      <c r="K43" s="16">
        <v>3</v>
      </c>
      <c r="L43" s="16">
        <v>3</v>
      </c>
      <c r="M43" s="16">
        <v>4</v>
      </c>
      <c r="N43" s="16">
        <v>3</v>
      </c>
      <c r="O43" s="16">
        <v>2</v>
      </c>
      <c r="P43" s="16">
        <v>4</v>
      </c>
      <c r="Q43" s="16">
        <v>3</v>
      </c>
      <c r="R43" s="16">
        <v>4</v>
      </c>
      <c r="S43" s="16">
        <v>3</v>
      </c>
      <c r="T43" s="16">
        <v>3</v>
      </c>
      <c r="U43" s="16">
        <v>3</v>
      </c>
      <c r="V43" s="16">
        <v>1</v>
      </c>
      <c r="W43" s="4">
        <f t="shared" si="0"/>
        <v>60</v>
      </c>
    </row>
    <row r="44" spans="1:23" x14ac:dyDescent="0.35">
      <c r="A44" s="97" t="s">
        <v>281</v>
      </c>
      <c r="B44" s="97"/>
      <c r="C44" s="80">
        <f>CORREL(C2:C43,W2:W43)</f>
        <v>0.1243642971348321</v>
      </c>
      <c r="D44" s="30">
        <f>CORREL(D2:D43,W2:W43)</f>
        <v>0.283758437144363</v>
      </c>
      <c r="E44" s="30">
        <f>CORREL(E2:E43,W2:W43)</f>
        <v>0.21029784676467544</v>
      </c>
      <c r="F44" s="30">
        <f>CORREL(F2:F43,W2:W43)</f>
        <v>0.45437428951365355</v>
      </c>
      <c r="G44" s="30">
        <f>CORREL(G2:G43,W2:W43)</f>
        <v>0.2649638902244697</v>
      </c>
      <c r="H44" s="30">
        <f>CORREL(H2:H43,W2:W43)</f>
        <v>0.27280025333628938</v>
      </c>
      <c r="I44" s="30">
        <f>CORREL(I2:I43,W2:W43)</f>
        <v>0.47142962169829111</v>
      </c>
      <c r="J44" s="30">
        <f>CORREL(J2:J43,W2:W43)</f>
        <v>8.1563856573036983E-2</v>
      </c>
      <c r="K44" s="30">
        <f>CORREL(K2:K43,W2:W43)</f>
        <v>0.3490771360543895</v>
      </c>
      <c r="L44" s="30">
        <f>CORREL(L2:L43,W2:W43)</f>
        <v>0.56661180995818894</v>
      </c>
      <c r="M44" s="30">
        <f>CORREL(M2:M43,W2:W43)</f>
        <v>0.51108883163154828</v>
      </c>
      <c r="N44" s="30">
        <f>CORREL(N2:N43,W2:W43)</f>
        <v>0.20382312089459725</v>
      </c>
      <c r="O44" s="30">
        <f>CORREL(O2:O43,W2:W43)</f>
        <v>0.3575617192502501</v>
      </c>
      <c r="P44" s="30">
        <f>CORREL(P2:P43,W2:W43)</f>
        <v>0.37323131362739698</v>
      </c>
      <c r="Q44" s="30">
        <f>CORREL(Q2:Q43,W2:W43)</f>
        <v>-0.22081239260443036</v>
      </c>
      <c r="R44" s="30">
        <f>CORREL(R2:R43,W2:W43)</f>
        <v>0.2273994129043708</v>
      </c>
      <c r="S44" s="30">
        <f>CORREL(S2:S43,W2:W43)</f>
        <v>0.20021934672123659</v>
      </c>
      <c r="T44" s="30">
        <f>CORREL(T2:T43,W2:W43)</f>
        <v>-0.12562561434535727</v>
      </c>
      <c r="U44" s="30">
        <f>CORREL(U2:U43,W2:W43)</f>
        <v>0.14495194030687258</v>
      </c>
      <c r="V44" s="30">
        <f>CORREL(V2:V43,W2:W43)</f>
        <v>0.45749993305433018</v>
      </c>
      <c r="W44" s="30">
        <f>SUM(W2:W43)</f>
        <v>2340</v>
      </c>
    </row>
    <row r="45" spans="1:23" x14ac:dyDescent="0.35">
      <c r="A45" s="97" t="s">
        <v>282</v>
      </c>
      <c r="B45" s="97"/>
      <c r="C45" s="8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35">
      <c r="A46" s="97" t="s">
        <v>283</v>
      </c>
      <c r="B46" s="97"/>
      <c r="C46" s="8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</sheetData>
  <mergeCells count="3">
    <mergeCell ref="A44:B44"/>
    <mergeCell ref="A45:B45"/>
    <mergeCell ref="A46:B4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soal pre test eksperimen</vt:lpstr>
      <vt:lpstr>post test eksperimen</vt:lpstr>
      <vt:lpstr>Angket Eksperimen</vt:lpstr>
      <vt:lpstr>ANGKET EKSPERIMEN 2</vt:lpstr>
      <vt:lpstr>LKPD 1 EKSPERIMEN</vt:lpstr>
      <vt:lpstr>LKPD 2 EKSPERIMEN</vt:lpstr>
      <vt:lpstr>REFLEKSI EKSPERIMEN</vt:lpstr>
      <vt:lpstr>ASSEMEN PENILAIAN EKSPERIMEN</vt:lpstr>
      <vt:lpstr>pre test kontrol</vt:lpstr>
      <vt:lpstr>post test kontrol</vt:lpstr>
      <vt:lpstr>LKPD 1 KONTROL</vt:lpstr>
      <vt:lpstr>LKPD 2 KONTROL</vt:lpstr>
      <vt:lpstr>REFLEKSI PESERTA DIDIK KONTROL</vt:lpstr>
      <vt:lpstr>ASESMEN PENILAIAN KONTROL</vt:lpstr>
      <vt:lpstr>N-GAIN EKSPERIMEN</vt:lpstr>
      <vt:lpstr>N-GAIN KONTROL</vt:lpstr>
      <vt:lpstr>Sheet1</vt:lpstr>
      <vt:lpstr>Sheet4</vt:lpstr>
      <vt:lpstr>Sheet3</vt:lpstr>
      <vt:lpstr>Sheet5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Juli Yandi Rahman</cp:lastModifiedBy>
  <dcterms:created xsi:type="dcterms:W3CDTF">2024-08-05T13:42:29Z</dcterms:created>
  <dcterms:modified xsi:type="dcterms:W3CDTF">2024-10-01T03:37:00Z</dcterms:modified>
</cp:coreProperties>
</file>