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Analisis Pretest and Posttest with Nonparametric Model)\"/>
    </mc:Choice>
  </mc:AlternateContent>
  <xr:revisionPtr revIDLastSave="0" documentId="8_{4C28A6D3-0FC2-4FC9-94AE-033762B20644}" xr6:coauthVersionLast="47" xr6:coauthVersionMax="47" xr10:uidLastSave="{00000000-0000-0000-0000-000000000000}"/>
  <bookViews>
    <workbookView xWindow="-110" yWindow="-110" windowWidth="19420" windowHeight="10300" activeTab="1" xr2:uid="{70F26360-B054-4291-A3DB-55D2EB1EB686}"/>
  </bookViews>
  <sheets>
    <sheet name="Angket 1" sheetId="1" r:id="rId1"/>
    <sheet name="Angke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7" i="2" l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U46" i="2"/>
  <c r="T46" i="2"/>
  <c r="M46" i="2"/>
  <c r="L46" i="2"/>
  <c r="E46" i="2"/>
  <c r="D46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V44" i="2"/>
  <c r="V46" i="2" s="1"/>
  <c r="U44" i="2"/>
  <c r="T44" i="2"/>
  <c r="S44" i="2"/>
  <c r="S46" i="2" s="1"/>
  <c r="R44" i="2"/>
  <c r="R46" i="2" s="1"/>
  <c r="Q44" i="2"/>
  <c r="Q46" i="2" s="1"/>
  <c r="P44" i="2"/>
  <c r="P46" i="2" s="1"/>
  <c r="O44" i="2"/>
  <c r="O46" i="2" s="1"/>
  <c r="N44" i="2"/>
  <c r="N46" i="2" s="1"/>
  <c r="M44" i="2"/>
  <c r="L44" i="2"/>
  <c r="K44" i="2"/>
  <c r="K46" i="2" s="1"/>
  <c r="J44" i="2"/>
  <c r="J46" i="2" s="1"/>
  <c r="I44" i="2"/>
  <c r="I46" i="2" s="1"/>
  <c r="H44" i="2"/>
  <c r="H46" i="2" s="1"/>
  <c r="G44" i="2"/>
  <c r="G46" i="2" s="1"/>
  <c r="F44" i="2"/>
  <c r="F46" i="2" s="1"/>
  <c r="E44" i="2"/>
  <c r="D44" i="2"/>
  <c r="C44" i="2"/>
  <c r="C46" i="2" s="1"/>
  <c r="W43" i="2"/>
  <c r="X43" i="2" s="1"/>
  <c r="W42" i="2"/>
  <c r="X42" i="2" s="1"/>
  <c r="X41" i="2"/>
  <c r="W41" i="2"/>
  <c r="W40" i="2"/>
  <c r="X40" i="2" s="1"/>
  <c r="W39" i="2"/>
  <c r="X39" i="2" s="1"/>
  <c r="W38" i="2"/>
  <c r="X38" i="2" s="1"/>
  <c r="X37" i="2"/>
  <c r="W37" i="2"/>
  <c r="W36" i="2"/>
  <c r="X36" i="2" s="1"/>
  <c r="W35" i="2"/>
  <c r="X35" i="2" s="1"/>
  <c r="W34" i="2"/>
  <c r="X34" i="2" s="1"/>
  <c r="X33" i="2"/>
  <c r="W33" i="2"/>
  <c r="W32" i="2"/>
  <c r="X32" i="2" s="1"/>
  <c r="W31" i="2"/>
  <c r="X31" i="2" s="1"/>
  <c r="W30" i="2"/>
  <c r="X30" i="2" s="1"/>
  <c r="X29" i="2"/>
  <c r="W29" i="2"/>
  <c r="W28" i="2"/>
  <c r="X28" i="2" s="1"/>
  <c r="W27" i="2"/>
  <c r="X27" i="2" s="1"/>
  <c r="W26" i="2"/>
  <c r="X26" i="2" s="1"/>
  <c r="X25" i="2"/>
  <c r="W25" i="2"/>
  <c r="W24" i="2"/>
  <c r="X24" i="2" s="1"/>
  <c r="W23" i="2"/>
  <c r="X23" i="2" s="1"/>
  <c r="W22" i="2"/>
  <c r="X22" i="2" s="1"/>
  <c r="X21" i="2"/>
  <c r="W21" i="2"/>
  <c r="W20" i="2"/>
  <c r="X20" i="2" s="1"/>
  <c r="W19" i="2"/>
  <c r="X19" i="2" s="1"/>
  <c r="W18" i="2"/>
  <c r="X18" i="2" s="1"/>
  <c r="X17" i="2"/>
  <c r="W17" i="2"/>
  <c r="W16" i="2"/>
  <c r="X16" i="2" s="1"/>
  <c r="W15" i="2"/>
  <c r="X15" i="2" s="1"/>
  <c r="W14" i="2"/>
  <c r="X14" i="2" s="1"/>
  <c r="X13" i="2"/>
  <c r="W13" i="2"/>
  <c r="W12" i="2"/>
  <c r="X12" i="2" s="1"/>
  <c r="W11" i="2"/>
  <c r="X11" i="2" s="1"/>
  <c r="W10" i="2"/>
  <c r="X10" i="2" s="1"/>
  <c r="X9" i="2"/>
  <c r="W9" i="2"/>
  <c r="W8" i="2"/>
  <c r="X8" i="2" s="1"/>
  <c r="W7" i="2"/>
  <c r="X7" i="2" s="1"/>
  <c r="W6" i="2"/>
  <c r="X6" i="2" s="1"/>
  <c r="X5" i="2"/>
  <c r="W5" i="2"/>
  <c r="W4" i="2"/>
  <c r="X4" i="2" s="1"/>
  <c r="W3" i="2"/>
  <c r="X3" i="2" s="1"/>
  <c r="W2" i="2"/>
  <c r="X2" i="2" s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W44" i="1"/>
  <c r="V44" i="1"/>
  <c r="V46" i="1" s="1"/>
  <c r="U44" i="1"/>
  <c r="U46" i="1" s="1"/>
  <c r="T44" i="1"/>
  <c r="T46" i="1" s="1"/>
  <c r="S44" i="1"/>
  <c r="S46" i="1" s="1"/>
  <c r="R44" i="1"/>
  <c r="R46" i="1" s="1"/>
  <c r="Q44" i="1"/>
  <c r="Q46" i="1" s="1"/>
  <c r="P44" i="1"/>
  <c r="P46" i="1" s="1"/>
  <c r="O44" i="1"/>
  <c r="O46" i="1" s="1"/>
  <c r="N44" i="1"/>
  <c r="N46" i="1" s="1"/>
  <c r="M44" i="1"/>
  <c r="M46" i="1" s="1"/>
  <c r="L44" i="1"/>
  <c r="L46" i="1" s="1"/>
  <c r="K44" i="1"/>
  <c r="K46" i="1" s="1"/>
  <c r="J44" i="1"/>
  <c r="J46" i="1" s="1"/>
  <c r="I44" i="1"/>
  <c r="I46" i="1" s="1"/>
  <c r="H44" i="1"/>
  <c r="H46" i="1" s="1"/>
  <c r="G44" i="1"/>
  <c r="G46" i="1" s="1"/>
  <c r="F44" i="1"/>
  <c r="F46" i="1" s="1"/>
  <c r="E44" i="1"/>
  <c r="E46" i="1" s="1"/>
  <c r="D44" i="1"/>
  <c r="D46" i="1" s="1"/>
  <c r="C44" i="1"/>
  <c r="C46" i="1" s="1"/>
  <c r="X43" i="1"/>
  <c r="W43" i="1"/>
  <c r="W42" i="1"/>
  <c r="X42" i="1" s="1"/>
  <c r="W41" i="1"/>
  <c r="X41" i="1" s="1"/>
  <c r="W40" i="1"/>
  <c r="X40" i="1" s="1"/>
  <c r="X39" i="1"/>
  <c r="W39" i="1"/>
  <c r="W38" i="1"/>
  <c r="X38" i="1" s="1"/>
  <c r="W37" i="1"/>
  <c r="X37" i="1" s="1"/>
  <c r="W36" i="1"/>
  <c r="X36" i="1" s="1"/>
  <c r="X35" i="1"/>
  <c r="W35" i="1"/>
  <c r="W34" i="1"/>
  <c r="X34" i="1" s="1"/>
  <c r="W33" i="1"/>
  <c r="X33" i="1" s="1"/>
  <c r="W32" i="1"/>
  <c r="X32" i="1" s="1"/>
  <c r="X31" i="1"/>
  <c r="W31" i="1"/>
  <c r="W30" i="1"/>
  <c r="X30" i="1" s="1"/>
  <c r="W29" i="1"/>
  <c r="X29" i="1" s="1"/>
  <c r="W28" i="1"/>
  <c r="X28" i="1" s="1"/>
  <c r="X27" i="1"/>
  <c r="W27" i="1"/>
  <c r="W26" i="1"/>
  <c r="X26" i="1" s="1"/>
  <c r="W25" i="1"/>
  <c r="X25" i="1" s="1"/>
  <c r="W24" i="1"/>
  <c r="X24" i="1" s="1"/>
  <c r="X23" i="1"/>
  <c r="W23" i="1"/>
  <c r="W22" i="1"/>
  <c r="X22" i="1" s="1"/>
  <c r="W21" i="1"/>
  <c r="X21" i="1" s="1"/>
  <c r="W20" i="1"/>
  <c r="X20" i="1" s="1"/>
  <c r="X19" i="1"/>
  <c r="W19" i="1"/>
  <c r="W18" i="1"/>
  <c r="X18" i="1" s="1"/>
  <c r="W17" i="1"/>
  <c r="X17" i="1" s="1"/>
  <c r="W16" i="1"/>
  <c r="X16" i="1" s="1"/>
  <c r="X15" i="1"/>
  <c r="W15" i="1"/>
  <c r="W14" i="1"/>
  <c r="X14" i="1" s="1"/>
  <c r="W13" i="1"/>
  <c r="X13" i="1" s="1"/>
  <c r="W12" i="1"/>
  <c r="X12" i="1" s="1"/>
  <c r="X11" i="1"/>
  <c r="W11" i="1"/>
  <c r="W10" i="1"/>
  <c r="X10" i="1" s="1"/>
  <c r="W9" i="1"/>
  <c r="X9" i="1" s="1"/>
  <c r="W8" i="1"/>
  <c r="X8" i="1" s="1"/>
  <c r="X7" i="1"/>
  <c r="W7" i="1"/>
  <c r="W6" i="1"/>
  <c r="X6" i="1" s="1"/>
  <c r="W5" i="1"/>
  <c r="X5" i="1" s="1"/>
  <c r="W4" i="1"/>
  <c r="X4" i="1" s="1"/>
  <c r="X3" i="1"/>
  <c r="W3" i="1"/>
  <c r="W2" i="1"/>
  <c r="X2" i="1" s="1"/>
  <c r="X44" i="1" s="1"/>
  <c r="X44" i="2" l="1"/>
  <c r="W44" i="2"/>
</calcChain>
</file>

<file path=xl/sharedStrings.xml><?xml version="1.0" encoding="utf-8"?>
<sst xmlns="http://schemas.openxmlformats.org/spreadsheetml/2006/main" count="226" uniqueCount="73">
  <si>
    <t>No</t>
  </si>
  <si>
    <t>Nama</t>
  </si>
  <si>
    <t>soal 1</t>
  </si>
  <si>
    <t>soal 2</t>
  </si>
  <si>
    <t>soal 3</t>
  </si>
  <si>
    <t>soal 4</t>
  </si>
  <si>
    <t>soal 5</t>
  </si>
  <si>
    <t>soal 6</t>
  </si>
  <si>
    <t>soal 7</t>
  </si>
  <si>
    <t>soal 8</t>
  </si>
  <si>
    <t>soal 9</t>
  </si>
  <si>
    <t>soal 10</t>
  </si>
  <si>
    <t>soal 11</t>
  </si>
  <si>
    <t>soal 12</t>
  </si>
  <si>
    <t>soal 13</t>
  </si>
  <si>
    <t>soal 14</t>
  </si>
  <si>
    <t>soal 15</t>
  </si>
  <si>
    <t>soal 16</t>
  </si>
  <si>
    <t>soal 17</t>
  </si>
  <si>
    <t>soal 18</t>
  </si>
  <si>
    <t>soal 19</t>
  </si>
  <si>
    <t>soal 20</t>
  </si>
  <si>
    <t>jumlah</t>
  </si>
  <si>
    <t xml:space="preserve">Nilai </t>
  </si>
  <si>
    <t>Kategori</t>
  </si>
  <si>
    <t xml:space="preserve"> Ahmad Aji Bahri</t>
  </si>
  <si>
    <t>Sangat baik</t>
  </si>
  <si>
    <t>Achmad Rasya Azzami</t>
  </si>
  <si>
    <t>Adelia Prisilia Andika</t>
  </si>
  <si>
    <t>Baik</t>
  </si>
  <si>
    <t>Adhyasta Yusuf Pratama</t>
  </si>
  <si>
    <t>Aerilyn Nadira Vebie. P</t>
  </si>
  <si>
    <t>Ahmad Bian</t>
  </si>
  <si>
    <t>Ahmad Azzam Aditya. P</t>
  </si>
  <si>
    <t>Ahmad Fahmi Dwi Putra</t>
  </si>
  <si>
    <t>Aida Huraiyah Azzahra</t>
  </si>
  <si>
    <t>Ainun Anindya</t>
  </si>
  <si>
    <t>Azka Aidric</t>
  </si>
  <si>
    <t>Azzam Khairul Fadli</t>
  </si>
  <si>
    <t>Bagus Dwi Pradhitya</t>
  </si>
  <si>
    <t>Davin Abriyanto</t>
  </si>
  <si>
    <t>Devita Maharani</t>
  </si>
  <si>
    <t>Dhimitri Al Moses</t>
  </si>
  <si>
    <t>Disti Divia Amabel. P</t>
  </si>
  <si>
    <t>Dwi Ayu Kemuning</t>
  </si>
  <si>
    <t>Dyah Ayu Permata. P</t>
  </si>
  <si>
    <t>Ellisya Annisa Fatanah</t>
  </si>
  <si>
    <t>Kinaya Putri Atayasha</t>
  </si>
  <si>
    <t>Kurnia Aditya Ramadhan</t>
  </si>
  <si>
    <t>Luthfi Sakhi Zunnur'ain</t>
  </si>
  <si>
    <t>M. Bilal Al Kahfi</t>
  </si>
  <si>
    <t>M. Ibrahim Al Zidan</t>
  </si>
  <si>
    <t>Maulana Rizki Ramadhan</t>
  </si>
  <si>
    <t>Mawar Fitri Handayani</t>
  </si>
  <si>
    <t>Moch. Syafiq</t>
  </si>
  <si>
    <t>Muhamad Zakaria</t>
  </si>
  <si>
    <t>Muhamad Abizar</t>
  </si>
  <si>
    <t>Muhammad Adrian. S</t>
  </si>
  <si>
    <t>Nada Rizkia Aleejah</t>
  </si>
  <si>
    <t>Nafilah Khansa. A.Y</t>
  </si>
  <si>
    <t>Nagita Adelia</t>
  </si>
  <si>
    <t>Nayaka Al Fath Yulis</t>
  </si>
  <si>
    <t>Nayla Hasna Amira</t>
  </si>
  <si>
    <t>Nella Masryla</t>
  </si>
  <si>
    <t>Novan Hidayat</t>
  </si>
  <si>
    <t>Nurkhazanah Amelia</t>
  </si>
  <si>
    <t>Putra Arjuna Pratama</t>
  </si>
  <si>
    <t>Rahman Akhmal Junaedi</t>
  </si>
  <si>
    <t>Rafandra</t>
  </si>
  <si>
    <t>Jumlah</t>
  </si>
  <si>
    <t>Skor max</t>
  </si>
  <si>
    <t xml:space="preserve">Skor 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</si>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</sst>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DC2D-92AF-4698-9AAB-585F71E8C459}">
  <dimension ref="A1:Y47"/>
  <sheetViews>
    <sheetView workbookViewId="0">
      <selection sqref="A1:XFD1048576"/>
    </sheetView>
  </sheetViews>
  <sheetFormatPr defaultRowHeight="14.5" x14ac:dyDescent="0.35"/>
  <cols>
    <col min="2" max="2" width="28.1796875" customWidth="1"/>
    <col min="3" max="3" width="8.26953125" customWidth="1"/>
    <col min="23" max="23" width="13" customWidth="1"/>
    <col min="25" max="25" width="13.72656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1</v>
      </c>
      <c r="B2" s="3" t="s">
        <v>25</v>
      </c>
      <c r="C2" s="2">
        <v>3</v>
      </c>
      <c r="D2" s="2">
        <v>3</v>
      </c>
      <c r="E2" s="2">
        <v>2</v>
      </c>
      <c r="F2" s="2">
        <v>3</v>
      </c>
      <c r="G2" s="2">
        <v>2</v>
      </c>
      <c r="H2" s="2">
        <v>4</v>
      </c>
      <c r="I2" s="2">
        <v>3</v>
      </c>
      <c r="J2" s="2">
        <v>2</v>
      </c>
      <c r="K2" s="2">
        <v>4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2</v>
      </c>
      <c r="R2" s="2">
        <v>2</v>
      </c>
      <c r="S2" s="2">
        <v>3</v>
      </c>
      <c r="T2" s="2">
        <v>3</v>
      </c>
      <c r="U2" s="2">
        <v>4</v>
      </c>
      <c r="V2" s="2">
        <v>2</v>
      </c>
      <c r="W2" s="2">
        <f>SUM(C2:V2)</f>
        <v>57</v>
      </c>
      <c r="X2" s="2">
        <f>SUM(W2+20)</f>
        <v>77</v>
      </c>
      <c r="Y2" s="4" t="s">
        <v>26</v>
      </c>
    </row>
    <row r="3" spans="1:25" x14ac:dyDescent="0.35">
      <c r="A3" s="2">
        <v>2</v>
      </c>
      <c r="B3" s="3" t="s">
        <v>27</v>
      </c>
      <c r="C3" s="2">
        <v>1</v>
      </c>
      <c r="D3" s="2">
        <v>4</v>
      </c>
      <c r="E3" s="2">
        <v>3</v>
      </c>
      <c r="F3" s="2">
        <v>4</v>
      </c>
      <c r="G3" s="2">
        <v>4</v>
      </c>
      <c r="H3" s="2">
        <v>1</v>
      </c>
      <c r="I3" s="2">
        <v>4</v>
      </c>
      <c r="J3" s="2">
        <v>4</v>
      </c>
      <c r="K3" s="2">
        <v>1</v>
      </c>
      <c r="L3" s="2">
        <v>4</v>
      </c>
      <c r="M3" s="2">
        <v>4</v>
      </c>
      <c r="N3" s="2">
        <v>1</v>
      </c>
      <c r="O3" s="2">
        <v>4</v>
      </c>
      <c r="P3" s="2">
        <v>4</v>
      </c>
      <c r="Q3" s="2">
        <v>1</v>
      </c>
      <c r="R3" s="2">
        <v>3</v>
      </c>
      <c r="S3" s="2">
        <v>3</v>
      </c>
      <c r="T3" s="2">
        <v>3</v>
      </c>
      <c r="U3" s="2">
        <v>3</v>
      </c>
      <c r="V3" s="2">
        <v>2</v>
      </c>
      <c r="W3" s="2">
        <f t="shared" ref="W3:W43" si="0">SUM(C3:V3)</f>
        <v>58</v>
      </c>
      <c r="X3" s="2">
        <f t="shared" ref="X3:X43" si="1">SUM(W3+20)</f>
        <v>78</v>
      </c>
      <c r="Y3" s="4" t="s">
        <v>26</v>
      </c>
    </row>
    <row r="4" spans="1:25" x14ac:dyDescent="0.35">
      <c r="A4" s="2">
        <v>3</v>
      </c>
      <c r="B4" s="3" t="s">
        <v>28</v>
      </c>
      <c r="C4" s="2">
        <v>3</v>
      </c>
      <c r="D4" s="2">
        <v>3</v>
      </c>
      <c r="E4" s="2">
        <v>4</v>
      </c>
      <c r="F4" s="2">
        <v>3</v>
      </c>
      <c r="G4" s="2">
        <v>3</v>
      </c>
      <c r="H4" s="2">
        <v>4</v>
      </c>
      <c r="I4" s="2">
        <v>4</v>
      </c>
      <c r="J4" s="2">
        <v>3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4</v>
      </c>
      <c r="Q4" s="2">
        <v>3</v>
      </c>
      <c r="R4" s="2">
        <v>2</v>
      </c>
      <c r="S4" s="2">
        <v>1</v>
      </c>
      <c r="T4" s="2">
        <v>3</v>
      </c>
      <c r="U4" s="2">
        <v>2</v>
      </c>
      <c r="V4" s="2">
        <v>1</v>
      </c>
      <c r="W4" s="2">
        <f t="shared" si="0"/>
        <v>50</v>
      </c>
      <c r="X4" s="2">
        <f t="shared" si="1"/>
        <v>70</v>
      </c>
      <c r="Y4" s="4" t="s">
        <v>29</v>
      </c>
    </row>
    <row r="5" spans="1:25" x14ac:dyDescent="0.35">
      <c r="A5" s="2">
        <v>4</v>
      </c>
      <c r="B5" s="3" t="s">
        <v>30</v>
      </c>
      <c r="C5" s="2">
        <v>3</v>
      </c>
      <c r="D5" s="2">
        <v>3</v>
      </c>
      <c r="E5" s="2">
        <v>3</v>
      </c>
      <c r="F5" s="2">
        <v>2</v>
      </c>
      <c r="G5" s="2">
        <v>3</v>
      </c>
      <c r="H5" s="2">
        <v>3</v>
      </c>
      <c r="I5" s="2">
        <v>3</v>
      </c>
      <c r="J5" s="2">
        <v>2</v>
      </c>
      <c r="K5" s="2">
        <v>2</v>
      </c>
      <c r="L5" s="2">
        <v>3</v>
      </c>
      <c r="M5" s="2">
        <v>3</v>
      </c>
      <c r="N5" s="2">
        <v>3</v>
      </c>
      <c r="O5" s="2">
        <v>2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2</v>
      </c>
      <c r="V5" s="2">
        <v>2</v>
      </c>
      <c r="W5" s="2">
        <f t="shared" si="0"/>
        <v>54</v>
      </c>
      <c r="X5" s="2">
        <f t="shared" si="1"/>
        <v>74</v>
      </c>
      <c r="Y5" s="4" t="s">
        <v>26</v>
      </c>
    </row>
    <row r="6" spans="1:25" x14ac:dyDescent="0.35">
      <c r="A6" s="2">
        <v>5</v>
      </c>
      <c r="B6" s="3" t="s">
        <v>31</v>
      </c>
      <c r="C6" s="2">
        <v>3</v>
      </c>
      <c r="D6" s="2">
        <v>4</v>
      </c>
      <c r="E6" s="2">
        <v>3</v>
      </c>
      <c r="F6" s="2">
        <v>2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2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f t="shared" si="0"/>
        <v>59</v>
      </c>
      <c r="X6" s="2">
        <f t="shared" si="1"/>
        <v>79</v>
      </c>
      <c r="Y6" s="4" t="s">
        <v>26</v>
      </c>
    </row>
    <row r="7" spans="1:25" x14ac:dyDescent="0.35">
      <c r="A7" s="2">
        <v>6</v>
      </c>
      <c r="B7" s="3" t="s">
        <v>32</v>
      </c>
      <c r="C7" s="2">
        <v>3</v>
      </c>
      <c r="D7" s="2">
        <v>3</v>
      </c>
      <c r="E7" s="2">
        <v>1</v>
      </c>
      <c r="F7" s="2">
        <v>3</v>
      </c>
      <c r="G7" s="2">
        <v>3</v>
      </c>
      <c r="H7" s="2">
        <v>3</v>
      </c>
      <c r="I7" s="2">
        <v>1</v>
      </c>
      <c r="J7" s="2">
        <v>4</v>
      </c>
      <c r="K7" s="2">
        <v>3</v>
      </c>
      <c r="L7" s="2">
        <v>4</v>
      </c>
      <c r="M7" s="2">
        <v>4</v>
      </c>
      <c r="N7" s="2">
        <v>3</v>
      </c>
      <c r="O7" s="2">
        <v>4</v>
      </c>
      <c r="P7" s="2">
        <v>3</v>
      </c>
      <c r="Q7" s="2">
        <v>4</v>
      </c>
      <c r="R7" s="2">
        <v>3</v>
      </c>
      <c r="S7" s="2">
        <v>2</v>
      </c>
      <c r="T7" s="2">
        <v>1</v>
      </c>
      <c r="U7" s="2">
        <v>3</v>
      </c>
      <c r="V7" s="2">
        <v>4</v>
      </c>
      <c r="W7" s="2">
        <f t="shared" si="0"/>
        <v>59</v>
      </c>
      <c r="X7" s="2">
        <f t="shared" si="1"/>
        <v>79</v>
      </c>
      <c r="Y7" s="4" t="s">
        <v>26</v>
      </c>
    </row>
    <row r="8" spans="1:25" x14ac:dyDescent="0.35">
      <c r="A8" s="2">
        <v>7</v>
      </c>
      <c r="B8" s="3" t="s">
        <v>33</v>
      </c>
      <c r="C8" s="2">
        <v>4</v>
      </c>
      <c r="D8" s="2">
        <v>4</v>
      </c>
      <c r="E8" s="2">
        <v>3</v>
      </c>
      <c r="F8" s="2">
        <v>3</v>
      </c>
      <c r="G8" s="2">
        <v>3</v>
      </c>
      <c r="H8" s="2">
        <v>4</v>
      </c>
      <c r="I8" s="2">
        <v>4</v>
      </c>
      <c r="J8" s="2">
        <v>3</v>
      </c>
      <c r="K8" s="2">
        <v>3</v>
      </c>
      <c r="L8" s="2">
        <v>2</v>
      </c>
      <c r="M8" s="2">
        <v>4</v>
      </c>
      <c r="N8" s="2">
        <v>1</v>
      </c>
      <c r="O8" s="2">
        <v>3</v>
      </c>
      <c r="P8" s="2">
        <v>4</v>
      </c>
      <c r="Q8" s="2">
        <v>2</v>
      </c>
      <c r="R8" s="2">
        <v>3</v>
      </c>
      <c r="S8" s="2">
        <v>3</v>
      </c>
      <c r="T8" s="2">
        <v>2</v>
      </c>
      <c r="U8" s="2">
        <v>3</v>
      </c>
      <c r="V8" s="2">
        <v>2</v>
      </c>
      <c r="W8" s="2">
        <f t="shared" si="0"/>
        <v>60</v>
      </c>
      <c r="X8" s="2">
        <f t="shared" si="1"/>
        <v>80</v>
      </c>
      <c r="Y8" s="4" t="s">
        <v>26</v>
      </c>
    </row>
    <row r="9" spans="1:25" x14ac:dyDescent="0.35">
      <c r="A9" s="2">
        <v>8</v>
      </c>
      <c r="B9" s="3" t="s">
        <v>34</v>
      </c>
      <c r="C9" s="2">
        <v>3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3</v>
      </c>
      <c r="J9" s="2">
        <v>1</v>
      </c>
      <c r="K9" s="2">
        <v>3</v>
      </c>
      <c r="L9" s="2">
        <v>3</v>
      </c>
      <c r="M9" s="2">
        <v>4</v>
      </c>
      <c r="N9" s="2">
        <v>4</v>
      </c>
      <c r="O9" s="2">
        <v>3</v>
      </c>
      <c r="P9" s="2">
        <v>3</v>
      </c>
      <c r="Q9" s="2">
        <v>2</v>
      </c>
      <c r="R9" s="2">
        <v>4</v>
      </c>
      <c r="S9" s="2">
        <v>3</v>
      </c>
      <c r="T9" s="2">
        <v>3</v>
      </c>
      <c r="U9" s="2">
        <v>3</v>
      </c>
      <c r="V9" s="2">
        <v>4</v>
      </c>
      <c r="W9" s="2">
        <f t="shared" si="0"/>
        <v>66</v>
      </c>
      <c r="X9" s="2">
        <f t="shared" si="1"/>
        <v>86</v>
      </c>
      <c r="Y9" s="4" t="s">
        <v>26</v>
      </c>
    </row>
    <row r="10" spans="1:25" x14ac:dyDescent="0.35">
      <c r="A10" s="2">
        <v>9</v>
      </c>
      <c r="B10" s="3" t="s">
        <v>35</v>
      </c>
      <c r="C10" s="2">
        <v>3</v>
      </c>
      <c r="D10" s="2">
        <v>3</v>
      </c>
      <c r="E10" s="2">
        <v>3</v>
      </c>
      <c r="F10" s="2">
        <v>1</v>
      </c>
      <c r="G10" s="2">
        <v>3</v>
      </c>
      <c r="H10" s="2">
        <v>4</v>
      </c>
      <c r="I10" s="2">
        <v>3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2</v>
      </c>
      <c r="P10" s="2">
        <v>2</v>
      </c>
      <c r="Q10" s="2">
        <v>3</v>
      </c>
      <c r="R10" s="2">
        <v>2</v>
      </c>
      <c r="S10" s="2">
        <v>4</v>
      </c>
      <c r="T10" s="2">
        <v>3</v>
      </c>
      <c r="U10" s="2">
        <v>2</v>
      </c>
      <c r="V10" s="2">
        <v>4</v>
      </c>
      <c r="W10" s="2">
        <f t="shared" si="0"/>
        <v>57</v>
      </c>
      <c r="X10" s="2">
        <f t="shared" si="1"/>
        <v>77</v>
      </c>
      <c r="Y10" s="4" t="s">
        <v>26</v>
      </c>
    </row>
    <row r="11" spans="1:25" x14ac:dyDescent="0.35">
      <c r="A11" s="2">
        <v>10</v>
      </c>
      <c r="B11" s="3" t="s">
        <v>36</v>
      </c>
      <c r="C11" s="2">
        <v>3</v>
      </c>
      <c r="D11" s="2">
        <v>3</v>
      </c>
      <c r="E11" s="2">
        <v>3</v>
      </c>
      <c r="F11" s="2">
        <v>1</v>
      </c>
      <c r="G11" s="2">
        <v>3</v>
      </c>
      <c r="H11" s="2">
        <v>4</v>
      </c>
      <c r="I11" s="2">
        <v>3</v>
      </c>
      <c r="J11" s="2">
        <v>2</v>
      </c>
      <c r="K11" s="2">
        <v>3</v>
      </c>
      <c r="L11" s="2">
        <v>3</v>
      </c>
      <c r="M11" s="2">
        <v>4</v>
      </c>
      <c r="N11" s="2">
        <v>3</v>
      </c>
      <c r="O11" s="2">
        <v>2</v>
      </c>
      <c r="P11" s="2">
        <v>3</v>
      </c>
      <c r="Q11" s="2">
        <v>3</v>
      </c>
      <c r="R11" s="2">
        <v>2</v>
      </c>
      <c r="S11" s="2">
        <v>4</v>
      </c>
      <c r="T11" s="2">
        <v>3</v>
      </c>
      <c r="U11" s="2">
        <v>2</v>
      </c>
      <c r="V11" s="2">
        <v>1</v>
      </c>
      <c r="W11" s="2">
        <f t="shared" si="0"/>
        <v>55</v>
      </c>
      <c r="X11" s="2">
        <f t="shared" si="1"/>
        <v>75</v>
      </c>
      <c r="Y11" s="4" t="s">
        <v>29</v>
      </c>
    </row>
    <row r="12" spans="1:25" x14ac:dyDescent="0.35">
      <c r="A12" s="2">
        <v>11</v>
      </c>
      <c r="B12" s="3" t="s">
        <v>37</v>
      </c>
      <c r="C12" s="2">
        <v>3</v>
      </c>
      <c r="D12" s="2">
        <v>1</v>
      </c>
      <c r="E12" s="2">
        <v>3</v>
      </c>
      <c r="F12" s="2">
        <v>1</v>
      </c>
      <c r="G12" s="2">
        <v>3</v>
      </c>
      <c r="H12" s="2">
        <v>2</v>
      </c>
      <c r="I12" s="2">
        <v>3</v>
      </c>
      <c r="J12" s="2">
        <v>1</v>
      </c>
      <c r="K12" s="2">
        <v>1</v>
      </c>
      <c r="L12" s="2">
        <v>3</v>
      </c>
      <c r="M12" s="2">
        <v>3</v>
      </c>
      <c r="N12" s="2">
        <v>4</v>
      </c>
      <c r="O12" s="2">
        <v>4</v>
      </c>
      <c r="P12" s="2">
        <v>3</v>
      </c>
      <c r="Q12" s="2">
        <v>3</v>
      </c>
      <c r="R12" s="2">
        <v>1</v>
      </c>
      <c r="S12" s="2">
        <v>4</v>
      </c>
      <c r="T12" s="2">
        <v>4</v>
      </c>
      <c r="U12" s="2">
        <v>3</v>
      </c>
      <c r="V12" s="2">
        <v>1</v>
      </c>
      <c r="W12" s="2">
        <f t="shared" si="0"/>
        <v>51</v>
      </c>
      <c r="X12" s="2">
        <f t="shared" si="1"/>
        <v>71</v>
      </c>
      <c r="Y12" s="4" t="s">
        <v>29</v>
      </c>
    </row>
    <row r="13" spans="1:25" x14ac:dyDescent="0.35">
      <c r="A13" s="2">
        <v>12</v>
      </c>
      <c r="B13" s="3" t="s">
        <v>38</v>
      </c>
      <c r="C13" s="2">
        <v>3</v>
      </c>
      <c r="D13" s="2">
        <v>1</v>
      </c>
      <c r="E13" s="2">
        <v>3</v>
      </c>
      <c r="F13" s="2">
        <v>2</v>
      </c>
      <c r="G13" s="2">
        <v>1</v>
      </c>
      <c r="H13" s="2">
        <v>3</v>
      </c>
      <c r="I13" s="2">
        <v>1</v>
      </c>
      <c r="J13" s="2">
        <v>2</v>
      </c>
      <c r="K13" s="2">
        <v>4</v>
      </c>
      <c r="L13" s="2">
        <v>2</v>
      </c>
      <c r="M13" s="2">
        <v>1</v>
      </c>
      <c r="N13" s="2">
        <v>3</v>
      </c>
      <c r="O13" s="2">
        <v>1</v>
      </c>
      <c r="P13" s="2">
        <v>2</v>
      </c>
      <c r="Q13" s="2">
        <v>4</v>
      </c>
      <c r="R13" s="2">
        <v>3</v>
      </c>
      <c r="S13" s="2">
        <v>4</v>
      </c>
      <c r="T13" s="2">
        <v>3</v>
      </c>
      <c r="U13" s="2">
        <v>4</v>
      </c>
      <c r="V13" s="2">
        <v>1</v>
      </c>
      <c r="W13" s="2">
        <f t="shared" si="0"/>
        <v>48</v>
      </c>
      <c r="X13" s="2">
        <f t="shared" si="1"/>
        <v>68</v>
      </c>
      <c r="Y13" s="4" t="s">
        <v>29</v>
      </c>
    </row>
    <row r="14" spans="1:25" x14ac:dyDescent="0.35">
      <c r="A14" s="2">
        <v>13</v>
      </c>
      <c r="B14" s="3" t="s">
        <v>39</v>
      </c>
      <c r="C14" s="2">
        <v>3</v>
      </c>
      <c r="D14" s="2">
        <v>1</v>
      </c>
      <c r="E14" s="2">
        <v>2</v>
      </c>
      <c r="F14" s="2">
        <v>3</v>
      </c>
      <c r="G14" s="2">
        <v>1</v>
      </c>
      <c r="H14" s="2">
        <v>3</v>
      </c>
      <c r="I14" s="2">
        <v>4</v>
      </c>
      <c r="J14" s="2">
        <v>2</v>
      </c>
      <c r="K14" s="2">
        <v>3</v>
      </c>
      <c r="L14" s="2">
        <v>4</v>
      </c>
      <c r="M14" s="2">
        <v>3</v>
      </c>
      <c r="N14" s="2">
        <v>3</v>
      </c>
      <c r="O14" s="2">
        <v>4</v>
      </c>
      <c r="P14" s="2">
        <v>4</v>
      </c>
      <c r="Q14" s="2">
        <v>4</v>
      </c>
      <c r="R14" s="2">
        <v>4</v>
      </c>
      <c r="S14" s="2">
        <v>3</v>
      </c>
      <c r="T14" s="2">
        <v>3</v>
      </c>
      <c r="U14" s="2">
        <v>4</v>
      </c>
      <c r="V14" s="2">
        <v>3</v>
      </c>
      <c r="W14" s="2">
        <f t="shared" si="0"/>
        <v>61</v>
      </c>
      <c r="X14" s="2">
        <f t="shared" si="1"/>
        <v>81</v>
      </c>
      <c r="Y14" s="4" t="s">
        <v>26</v>
      </c>
    </row>
    <row r="15" spans="1:25" x14ac:dyDescent="0.35">
      <c r="A15" s="2">
        <v>14</v>
      </c>
      <c r="B15" s="3" t="s">
        <v>40</v>
      </c>
      <c r="C15" s="2">
        <v>4</v>
      </c>
      <c r="D15" s="2">
        <v>2</v>
      </c>
      <c r="E15" s="2">
        <v>1</v>
      </c>
      <c r="F15" s="2">
        <v>3</v>
      </c>
      <c r="G15" s="2">
        <v>1</v>
      </c>
      <c r="H15" s="2">
        <v>3</v>
      </c>
      <c r="I15" s="2">
        <v>4</v>
      </c>
      <c r="J15" s="2">
        <v>2</v>
      </c>
      <c r="K15" s="2">
        <v>3</v>
      </c>
      <c r="L15" s="2">
        <v>4</v>
      </c>
      <c r="M15" s="2">
        <v>3</v>
      </c>
      <c r="N15" s="2">
        <v>4</v>
      </c>
      <c r="O15" s="2">
        <v>3</v>
      </c>
      <c r="P15" s="2">
        <v>2</v>
      </c>
      <c r="Q15" s="2">
        <v>1</v>
      </c>
      <c r="R15" s="2">
        <v>2</v>
      </c>
      <c r="S15" s="2">
        <v>3</v>
      </c>
      <c r="T15" s="2">
        <v>1</v>
      </c>
      <c r="U15" s="2">
        <v>4</v>
      </c>
      <c r="V15" s="2">
        <v>3</v>
      </c>
      <c r="W15" s="2">
        <f t="shared" si="0"/>
        <v>53</v>
      </c>
      <c r="X15" s="2">
        <f t="shared" si="1"/>
        <v>73</v>
      </c>
      <c r="Y15" s="4" t="s">
        <v>29</v>
      </c>
    </row>
    <row r="16" spans="1:25" x14ac:dyDescent="0.35">
      <c r="A16" s="2">
        <v>15</v>
      </c>
      <c r="B16" s="3" t="s">
        <v>41</v>
      </c>
      <c r="C16" s="2">
        <v>3</v>
      </c>
      <c r="D16" s="2">
        <v>3</v>
      </c>
      <c r="E16" s="2">
        <v>3</v>
      </c>
      <c r="F16" s="2">
        <v>3</v>
      </c>
      <c r="G16" s="2">
        <v>2</v>
      </c>
      <c r="H16" s="2">
        <v>3</v>
      </c>
      <c r="I16" s="2">
        <v>1</v>
      </c>
      <c r="J16" s="2">
        <v>3</v>
      </c>
      <c r="K16" s="2">
        <v>3</v>
      </c>
      <c r="L16" s="2">
        <v>2</v>
      </c>
      <c r="M16" s="2">
        <v>2</v>
      </c>
      <c r="N16" s="2">
        <v>3</v>
      </c>
      <c r="O16" s="2">
        <v>3</v>
      </c>
      <c r="P16" s="2">
        <v>3</v>
      </c>
      <c r="Q16" s="2">
        <v>3</v>
      </c>
      <c r="R16" s="2">
        <v>3</v>
      </c>
      <c r="S16" s="2">
        <v>2</v>
      </c>
      <c r="T16" s="2">
        <v>4</v>
      </c>
      <c r="U16" s="2">
        <v>1</v>
      </c>
      <c r="V16" s="2">
        <v>3</v>
      </c>
      <c r="W16" s="2">
        <f t="shared" si="0"/>
        <v>53</v>
      </c>
      <c r="X16" s="2">
        <f t="shared" si="1"/>
        <v>73</v>
      </c>
      <c r="Y16" s="4" t="s">
        <v>29</v>
      </c>
    </row>
    <row r="17" spans="1:25" x14ac:dyDescent="0.35">
      <c r="A17" s="2">
        <v>16</v>
      </c>
      <c r="B17" s="3" t="s">
        <v>42</v>
      </c>
      <c r="C17" s="2">
        <v>3</v>
      </c>
      <c r="D17" s="2">
        <v>4</v>
      </c>
      <c r="E17" s="2">
        <v>3</v>
      </c>
      <c r="F17" s="2">
        <v>2</v>
      </c>
      <c r="G17" s="2">
        <v>2</v>
      </c>
      <c r="H17" s="2">
        <v>3</v>
      </c>
      <c r="I17" s="2">
        <v>2</v>
      </c>
      <c r="J17" s="2">
        <v>2</v>
      </c>
      <c r="K17" s="2">
        <v>3</v>
      </c>
      <c r="L17" s="2">
        <v>2</v>
      </c>
      <c r="M17" s="2">
        <v>2</v>
      </c>
      <c r="N17" s="2">
        <v>3</v>
      </c>
      <c r="O17" s="2">
        <v>2</v>
      </c>
      <c r="P17" s="2">
        <v>2</v>
      </c>
      <c r="Q17" s="2">
        <v>3</v>
      </c>
      <c r="R17" s="2">
        <v>3</v>
      </c>
      <c r="S17" s="2">
        <v>3</v>
      </c>
      <c r="T17" s="2">
        <v>3</v>
      </c>
      <c r="U17" s="2">
        <v>3</v>
      </c>
      <c r="V17" s="2">
        <v>2</v>
      </c>
      <c r="W17" s="2">
        <f t="shared" si="0"/>
        <v>52</v>
      </c>
      <c r="X17" s="2">
        <f t="shared" si="1"/>
        <v>72</v>
      </c>
      <c r="Y17" s="4" t="s">
        <v>29</v>
      </c>
    </row>
    <row r="18" spans="1:25" x14ac:dyDescent="0.35">
      <c r="A18" s="2">
        <v>17</v>
      </c>
      <c r="B18" s="3" t="s">
        <v>43</v>
      </c>
      <c r="C18" s="2">
        <v>3</v>
      </c>
      <c r="D18" s="2">
        <v>2</v>
      </c>
      <c r="E18" s="2">
        <v>4</v>
      </c>
      <c r="F18" s="2">
        <v>3</v>
      </c>
      <c r="G18" s="2">
        <v>4</v>
      </c>
      <c r="H18" s="2">
        <v>3</v>
      </c>
      <c r="I18" s="2">
        <v>1</v>
      </c>
      <c r="J18" s="2">
        <v>3</v>
      </c>
      <c r="K18" s="2">
        <v>1</v>
      </c>
      <c r="L18" s="2">
        <v>2</v>
      </c>
      <c r="M18" s="2">
        <v>1</v>
      </c>
      <c r="N18" s="2">
        <v>2</v>
      </c>
      <c r="O18" s="2">
        <v>4</v>
      </c>
      <c r="P18" s="2">
        <v>2</v>
      </c>
      <c r="Q18" s="2">
        <v>4</v>
      </c>
      <c r="R18" s="2">
        <v>4</v>
      </c>
      <c r="S18" s="2">
        <v>1</v>
      </c>
      <c r="T18" s="2">
        <v>2</v>
      </c>
      <c r="U18" s="2">
        <v>3</v>
      </c>
      <c r="V18" s="2">
        <v>4</v>
      </c>
      <c r="W18" s="2">
        <f t="shared" si="0"/>
        <v>53</v>
      </c>
      <c r="X18" s="2">
        <f t="shared" si="1"/>
        <v>73</v>
      </c>
      <c r="Y18" s="4" t="s">
        <v>29</v>
      </c>
    </row>
    <row r="19" spans="1:25" x14ac:dyDescent="0.35">
      <c r="A19" s="2">
        <v>18</v>
      </c>
      <c r="B19" s="3" t="s">
        <v>44</v>
      </c>
      <c r="C19" s="2">
        <v>4</v>
      </c>
      <c r="D19" s="2">
        <v>4</v>
      </c>
      <c r="E19" s="2">
        <v>4</v>
      </c>
      <c r="F19" s="2">
        <v>4</v>
      </c>
      <c r="G19" s="2">
        <v>3</v>
      </c>
      <c r="H19" s="2">
        <v>4</v>
      </c>
      <c r="I19" s="2">
        <v>4</v>
      </c>
      <c r="J19" s="2">
        <v>1</v>
      </c>
      <c r="K19" s="2">
        <v>3</v>
      </c>
      <c r="L19" s="2">
        <v>4</v>
      </c>
      <c r="M19" s="2">
        <v>3</v>
      </c>
      <c r="N19" s="2">
        <v>4</v>
      </c>
      <c r="O19" s="2">
        <v>1</v>
      </c>
      <c r="P19" s="2">
        <v>4</v>
      </c>
      <c r="Q19" s="2">
        <v>4</v>
      </c>
      <c r="R19" s="2">
        <v>4</v>
      </c>
      <c r="S19" s="2">
        <v>1</v>
      </c>
      <c r="T19" s="2">
        <v>4</v>
      </c>
      <c r="U19" s="2">
        <v>1</v>
      </c>
      <c r="V19" s="2">
        <v>1</v>
      </c>
      <c r="W19" s="2">
        <f t="shared" si="0"/>
        <v>62</v>
      </c>
      <c r="X19" s="2">
        <f t="shared" si="1"/>
        <v>82</v>
      </c>
      <c r="Y19" s="4" t="s">
        <v>26</v>
      </c>
    </row>
    <row r="20" spans="1:25" x14ac:dyDescent="0.35">
      <c r="A20" s="2">
        <v>19</v>
      </c>
      <c r="B20" s="3" t="s">
        <v>45</v>
      </c>
      <c r="C20" s="2">
        <v>3</v>
      </c>
      <c r="D20" s="2">
        <v>3</v>
      </c>
      <c r="E20" s="2">
        <v>3</v>
      </c>
      <c r="F20" s="2">
        <v>3</v>
      </c>
      <c r="G20" s="2">
        <v>4</v>
      </c>
      <c r="H20" s="2">
        <v>4</v>
      </c>
      <c r="I20" s="2">
        <v>4</v>
      </c>
      <c r="J20" s="2">
        <v>2</v>
      </c>
      <c r="K20" s="2">
        <v>4</v>
      </c>
      <c r="L20" s="2">
        <v>4</v>
      </c>
      <c r="M20" s="2">
        <v>4</v>
      </c>
      <c r="N20" s="2">
        <v>4</v>
      </c>
      <c r="O20" s="2">
        <v>2</v>
      </c>
      <c r="P20" s="2">
        <v>4</v>
      </c>
      <c r="Q20" s="2">
        <v>3</v>
      </c>
      <c r="R20" s="2">
        <v>1</v>
      </c>
      <c r="S20" s="2">
        <v>3</v>
      </c>
      <c r="T20" s="2">
        <v>1</v>
      </c>
      <c r="U20" s="2">
        <v>2</v>
      </c>
      <c r="V20" s="2">
        <v>2</v>
      </c>
      <c r="W20" s="2">
        <f t="shared" si="0"/>
        <v>60</v>
      </c>
      <c r="X20" s="2">
        <f t="shared" si="1"/>
        <v>80</v>
      </c>
      <c r="Y20" s="4" t="s">
        <v>26</v>
      </c>
    </row>
    <row r="21" spans="1:25" x14ac:dyDescent="0.35">
      <c r="A21" s="2">
        <v>20</v>
      </c>
      <c r="B21" s="3" t="s">
        <v>46</v>
      </c>
      <c r="C21" s="2">
        <v>3</v>
      </c>
      <c r="D21" s="2">
        <v>3</v>
      </c>
      <c r="E21" s="2">
        <v>3</v>
      </c>
      <c r="F21" s="2">
        <v>3</v>
      </c>
      <c r="G21" s="2">
        <v>4</v>
      </c>
      <c r="H21" s="2">
        <v>3</v>
      </c>
      <c r="I21" s="2">
        <v>3</v>
      </c>
      <c r="J21" s="2">
        <v>2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4</v>
      </c>
      <c r="T21" s="2">
        <v>2</v>
      </c>
      <c r="U21" s="2">
        <v>1</v>
      </c>
      <c r="V21" s="2">
        <v>4</v>
      </c>
      <c r="W21" s="2">
        <f t="shared" si="0"/>
        <v>59</v>
      </c>
      <c r="X21" s="2">
        <f t="shared" si="1"/>
        <v>79</v>
      </c>
      <c r="Y21" s="4" t="s">
        <v>26</v>
      </c>
    </row>
    <row r="22" spans="1:25" x14ac:dyDescent="0.35">
      <c r="A22" s="2">
        <v>21</v>
      </c>
      <c r="B22" s="3" t="s">
        <v>47</v>
      </c>
      <c r="C22" s="2">
        <v>3</v>
      </c>
      <c r="D22" s="2">
        <v>3</v>
      </c>
      <c r="E22" s="2">
        <v>3</v>
      </c>
      <c r="F22" s="2">
        <v>2</v>
      </c>
      <c r="G22" s="2">
        <v>2</v>
      </c>
      <c r="H22" s="2">
        <v>4</v>
      </c>
      <c r="I22" s="2">
        <v>3</v>
      </c>
      <c r="J22" s="2">
        <v>2</v>
      </c>
      <c r="K22" s="2">
        <v>1</v>
      </c>
      <c r="L22" s="2">
        <v>4</v>
      </c>
      <c r="M22" s="2">
        <v>2</v>
      </c>
      <c r="N22" s="2">
        <v>3</v>
      </c>
      <c r="O22" s="2">
        <v>3</v>
      </c>
      <c r="P22" s="2">
        <v>2</v>
      </c>
      <c r="Q22" s="2">
        <v>2</v>
      </c>
      <c r="R22" s="2">
        <v>3</v>
      </c>
      <c r="S22" s="2">
        <v>3</v>
      </c>
      <c r="T22" s="2">
        <v>2</v>
      </c>
      <c r="U22" s="2">
        <v>4</v>
      </c>
      <c r="V22" s="2">
        <v>2</v>
      </c>
      <c r="W22" s="2">
        <f t="shared" si="0"/>
        <v>53</v>
      </c>
      <c r="X22" s="2">
        <f t="shared" si="1"/>
        <v>73</v>
      </c>
      <c r="Y22" s="4" t="s">
        <v>29</v>
      </c>
    </row>
    <row r="23" spans="1:25" x14ac:dyDescent="0.35">
      <c r="A23" s="2">
        <v>22</v>
      </c>
      <c r="B23" s="3" t="s">
        <v>48</v>
      </c>
      <c r="C23" s="2">
        <v>3</v>
      </c>
      <c r="D23" s="2">
        <v>2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2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3</v>
      </c>
      <c r="W23" s="2">
        <f t="shared" si="0"/>
        <v>58</v>
      </c>
      <c r="X23" s="2">
        <f t="shared" si="1"/>
        <v>78</v>
      </c>
      <c r="Y23" s="4" t="s">
        <v>26</v>
      </c>
    </row>
    <row r="24" spans="1:25" x14ac:dyDescent="0.35">
      <c r="A24" s="2">
        <v>23</v>
      </c>
      <c r="B24" s="3" t="s">
        <v>49</v>
      </c>
      <c r="C24" s="2">
        <v>3</v>
      </c>
      <c r="D24" s="2">
        <v>3</v>
      </c>
      <c r="E24" s="2">
        <v>4</v>
      </c>
      <c r="F24" s="2">
        <v>3</v>
      </c>
      <c r="G24" s="2">
        <v>2</v>
      </c>
      <c r="H24" s="2">
        <v>2</v>
      </c>
      <c r="I24" s="2">
        <v>2</v>
      </c>
      <c r="J24" s="2">
        <v>2</v>
      </c>
      <c r="K24" s="2">
        <v>3</v>
      </c>
      <c r="L24" s="2">
        <v>2</v>
      </c>
      <c r="M24" s="2">
        <v>2</v>
      </c>
      <c r="N24" s="2">
        <v>4</v>
      </c>
      <c r="O24" s="2">
        <v>1</v>
      </c>
      <c r="P24" s="2">
        <v>2</v>
      </c>
      <c r="Q24" s="2">
        <v>2</v>
      </c>
      <c r="R24" s="2">
        <v>3</v>
      </c>
      <c r="S24" s="2">
        <v>3</v>
      </c>
      <c r="T24" s="2">
        <v>3</v>
      </c>
      <c r="U24" s="2">
        <v>3</v>
      </c>
      <c r="V24" s="2">
        <v>2</v>
      </c>
      <c r="W24" s="2">
        <f t="shared" si="0"/>
        <v>51</v>
      </c>
      <c r="X24" s="2">
        <f t="shared" si="1"/>
        <v>71</v>
      </c>
      <c r="Y24" s="4" t="s">
        <v>29</v>
      </c>
    </row>
    <row r="25" spans="1:25" x14ac:dyDescent="0.35">
      <c r="A25" s="2">
        <v>24</v>
      </c>
      <c r="B25" s="3" t="s">
        <v>50</v>
      </c>
      <c r="C25" s="2">
        <v>3</v>
      </c>
      <c r="D25" s="2">
        <v>2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2</v>
      </c>
      <c r="M25" s="2">
        <v>3</v>
      </c>
      <c r="N25" s="2">
        <v>3</v>
      </c>
      <c r="O25" s="2">
        <v>3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f t="shared" si="0"/>
        <v>58</v>
      </c>
      <c r="X25" s="2">
        <f t="shared" si="1"/>
        <v>78</v>
      </c>
      <c r="Y25" s="4" t="s">
        <v>26</v>
      </c>
    </row>
    <row r="26" spans="1:25" x14ac:dyDescent="0.35">
      <c r="A26" s="2">
        <v>25</v>
      </c>
      <c r="B26" s="3" t="s">
        <v>51</v>
      </c>
      <c r="C26" s="2">
        <v>3</v>
      </c>
      <c r="D26" s="2">
        <v>4</v>
      </c>
      <c r="E26" s="2">
        <v>3</v>
      </c>
      <c r="F26" s="2">
        <v>2</v>
      </c>
      <c r="G26" s="2">
        <v>2</v>
      </c>
      <c r="H26" s="2">
        <v>3</v>
      </c>
      <c r="I26" s="2">
        <v>2</v>
      </c>
      <c r="J26" s="2">
        <v>2</v>
      </c>
      <c r="K26" s="2">
        <v>3</v>
      </c>
      <c r="L26" s="2">
        <v>2</v>
      </c>
      <c r="M26" s="2">
        <v>2</v>
      </c>
      <c r="N26" s="2">
        <v>3</v>
      </c>
      <c r="O26" s="2">
        <v>2</v>
      </c>
      <c r="P26" s="2">
        <v>2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2</v>
      </c>
      <c r="W26" s="2">
        <f t="shared" si="0"/>
        <v>52</v>
      </c>
      <c r="X26" s="2">
        <f t="shared" si="1"/>
        <v>72</v>
      </c>
      <c r="Y26" s="4" t="s">
        <v>29</v>
      </c>
    </row>
    <row r="27" spans="1:25" x14ac:dyDescent="0.35">
      <c r="A27" s="2">
        <v>26</v>
      </c>
      <c r="B27" s="3" t="s">
        <v>52</v>
      </c>
      <c r="C27" s="2">
        <v>3</v>
      </c>
      <c r="D27" s="2">
        <v>3</v>
      </c>
      <c r="E27" s="2">
        <v>4</v>
      </c>
      <c r="F27" s="2">
        <v>4</v>
      </c>
      <c r="G27" s="2">
        <v>2</v>
      </c>
      <c r="H27" s="2">
        <v>4</v>
      </c>
      <c r="I27" s="2">
        <v>2</v>
      </c>
      <c r="J27" s="2">
        <v>4</v>
      </c>
      <c r="K27" s="2">
        <v>3</v>
      </c>
      <c r="L27" s="2">
        <v>3</v>
      </c>
      <c r="M27" s="2">
        <v>1</v>
      </c>
      <c r="N27" s="2">
        <v>1</v>
      </c>
      <c r="O27" s="2">
        <v>2</v>
      </c>
      <c r="P27" s="2">
        <v>4</v>
      </c>
      <c r="Q27" s="2">
        <v>2</v>
      </c>
      <c r="R27" s="2">
        <v>4</v>
      </c>
      <c r="S27" s="2">
        <v>2</v>
      </c>
      <c r="T27" s="2">
        <v>3</v>
      </c>
      <c r="U27" s="2">
        <v>4</v>
      </c>
      <c r="V27" s="2">
        <v>4</v>
      </c>
      <c r="W27" s="2">
        <f t="shared" si="0"/>
        <v>59</v>
      </c>
      <c r="X27" s="2">
        <f t="shared" si="1"/>
        <v>79</v>
      </c>
      <c r="Y27" s="4" t="s">
        <v>26</v>
      </c>
    </row>
    <row r="28" spans="1:25" x14ac:dyDescent="0.35">
      <c r="A28" s="2">
        <v>27</v>
      </c>
      <c r="B28" s="3" t="s">
        <v>53</v>
      </c>
      <c r="C28" s="2">
        <v>3</v>
      </c>
      <c r="D28" s="2">
        <v>3</v>
      </c>
      <c r="E28" s="2">
        <v>4</v>
      </c>
      <c r="F28" s="2">
        <v>3</v>
      </c>
      <c r="G28" s="2">
        <v>4</v>
      </c>
      <c r="H28" s="2">
        <v>3</v>
      </c>
      <c r="I28" s="2">
        <v>1</v>
      </c>
      <c r="J28" s="2">
        <v>3</v>
      </c>
      <c r="K28" s="2">
        <v>3</v>
      </c>
      <c r="L28" s="2">
        <v>2</v>
      </c>
      <c r="M28" s="2">
        <v>1</v>
      </c>
      <c r="N28" s="2">
        <v>2</v>
      </c>
      <c r="O28" s="2">
        <v>1</v>
      </c>
      <c r="P28" s="2">
        <v>4</v>
      </c>
      <c r="Q28" s="2">
        <v>4</v>
      </c>
      <c r="R28" s="2">
        <v>4</v>
      </c>
      <c r="S28" s="2">
        <v>3</v>
      </c>
      <c r="T28" s="2">
        <v>1</v>
      </c>
      <c r="U28" s="2">
        <v>2</v>
      </c>
      <c r="V28" s="2">
        <v>2</v>
      </c>
      <c r="W28" s="2">
        <f t="shared" si="0"/>
        <v>53</v>
      </c>
      <c r="X28" s="2">
        <f t="shared" si="1"/>
        <v>73</v>
      </c>
      <c r="Y28" s="4" t="s">
        <v>29</v>
      </c>
    </row>
    <row r="29" spans="1:25" x14ac:dyDescent="0.35">
      <c r="A29" s="2">
        <v>28</v>
      </c>
      <c r="B29" s="3" t="s">
        <v>54</v>
      </c>
      <c r="C29" s="2">
        <v>3</v>
      </c>
      <c r="D29" s="2">
        <v>3</v>
      </c>
      <c r="E29" s="2">
        <v>2</v>
      </c>
      <c r="F29" s="2">
        <v>1</v>
      </c>
      <c r="G29" s="2">
        <v>3</v>
      </c>
      <c r="H29" s="2">
        <v>1</v>
      </c>
      <c r="I29" s="2">
        <v>4</v>
      </c>
      <c r="J29" s="2">
        <v>2</v>
      </c>
      <c r="K29" s="2">
        <v>1</v>
      </c>
      <c r="L29" s="2">
        <v>2</v>
      </c>
      <c r="M29" s="2">
        <v>3</v>
      </c>
      <c r="N29" s="2">
        <v>1</v>
      </c>
      <c r="O29" s="2">
        <v>3</v>
      </c>
      <c r="P29" s="2">
        <v>4</v>
      </c>
      <c r="Q29" s="2">
        <v>4</v>
      </c>
      <c r="R29" s="2">
        <v>2</v>
      </c>
      <c r="S29" s="2">
        <v>2</v>
      </c>
      <c r="T29" s="2">
        <v>4</v>
      </c>
      <c r="U29" s="2">
        <v>1</v>
      </c>
      <c r="V29" s="2">
        <v>2</v>
      </c>
      <c r="W29" s="2">
        <f t="shared" si="0"/>
        <v>48</v>
      </c>
      <c r="X29" s="2">
        <f t="shared" si="1"/>
        <v>68</v>
      </c>
      <c r="Y29" s="4" t="s">
        <v>29</v>
      </c>
    </row>
    <row r="30" spans="1:25" x14ac:dyDescent="0.35">
      <c r="A30" s="2">
        <v>29</v>
      </c>
      <c r="B30" s="3" t="s">
        <v>55</v>
      </c>
      <c r="C30" s="2">
        <v>3</v>
      </c>
      <c r="D30" s="2">
        <v>4</v>
      </c>
      <c r="E30" s="2">
        <v>2</v>
      </c>
      <c r="F30" s="2">
        <v>2</v>
      </c>
      <c r="G30" s="2">
        <v>2</v>
      </c>
      <c r="H30" s="2">
        <v>3</v>
      </c>
      <c r="I30" s="2">
        <v>2</v>
      </c>
      <c r="J30" s="2">
        <v>2</v>
      </c>
      <c r="K30" s="2">
        <v>3</v>
      </c>
      <c r="L30" s="2">
        <v>2</v>
      </c>
      <c r="M30" s="2">
        <v>2</v>
      </c>
      <c r="N30" s="2">
        <v>3</v>
      </c>
      <c r="O30" s="2">
        <v>2</v>
      </c>
      <c r="P30" s="2">
        <v>2</v>
      </c>
      <c r="Q30" s="2">
        <v>3</v>
      </c>
      <c r="R30" s="2">
        <v>3</v>
      </c>
      <c r="S30" s="2">
        <v>3</v>
      </c>
      <c r="T30" s="2">
        <v>3</v>
      </c>
      <c r="U30" s="2">
        <v>3</v>
      </c>
      <c r="V30" s="2">
        <v>2</v>
      </c>
      <c r="W30" s="2">
        <f t="shared" si="0"/>
        <v>51</v>
      </c>
      <c r="X30" s="2">
        <f t="shared" si="1"/>
        <v>71</v>
      </c>
      <c r="Y30" s="4" t="s">
        <v>29</v>
      </c>
    </row>
    <row r="31" spans="1:25" x14ac:dyDescent="0.35">
      <c r="A31" s="2">
        <v>30</v>
      </c>
      <c r="B31" s="3" t="s">
        <v>56</v>
      </c>
      <c r="C31" s="2">
        <v>3</v>
      </c>
      <c r="D31" s="2">
        <v>2</v>
      </c>
      <c r="E31" s="2">
        <v>3</v>
      </c>
      <c r="F31" s="2">
        <v>2</v>
      </c>
      <c r="G31" s="2">
        <v>2</v>
      </c>
      <c r="H31" s="2">
        <v>3</v>
      </c>
      <c r="I31" s="2">
        <v>2</v>
      </c>
      <c r="J31" s="2">
        <v>2</v>
      </c>
      <c r="K31" s="2">
        <v>3</v>
      </c>
      <c r="L31" s="2">
        <v>2</v>
      </c>
      <c r="M31" s="2">
        <v>2</v>
      </c>
      <c r="N31" s="2">
        <v>3</v>
      </c>
      <c r="O31" s="2">
        <v>2</v>
      </c>
      <c r="P31" s="2">
        <v>2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2</v>
      </c>
      <c r="W31" s="2">
        <f t="shared" si="0"/>
        <v>50</v>
      </c>
      <c r="X31" s="2">
        <f t="shared" si="1"/>
        <v>70</v>
      </c>
      <c r="Y31" s="4" t="s">
        <v>29</v>
      </c>
    </row>
    <row r="32" spans="1:25" x14ac:dyDescent="0.35">
      <c r="A32" s="2">
        <v>31</v>
      </c>
      <c r="B32" s="3" t="s">
        <v>57</v>
      </c>
      <c r="C32" s="2">
        <v>3</v>
      </c>
      <c r="D32" s="2">
        <v>4</v>
      </c>
      <c r="E32" s="2">
        <v>3</v>
      </c>
      <c r="F32" s="2">
        <v>2</v>
      </c>
      <c r="G32" s="2">
        <v>2</v>
      </c>
      <c r="H32" s="2">
        <v>3</v>
      </c>
      <c r="I32" s="2">
        <v>2</v>
      </c>
      <c r="J32" s="2">
        <v>2</v>
      </c>
      <c r="K32" s="2">
        <v>3</v>
      </c>
      <c r="L32" s="2">
        <v>2</v>
      </c>
      <c r="M32" s="2">
        <v>2</v>
      </c>
      <c r="N32" s="2">
        <v>3</v>
      </c>
      <c r="O32" s="2">
        <v>2</v>
      </c>
      <c r="P32" s="2">
        <v>2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2</v>
      </c>
      <c r="W32" s="2">
        <f t="shared" si="0"/>
        <v>52</v>
      </c>
      <c r="X32" s="2">
        <f t="shared" si="1"/>
        <v>72</v>
      </c>
      <c r="Y32" s="4" t="s">
        <v>29</v>
      </c>
    </row>
    <row r="33" spans="1:25" x14ac:dyDescent="0.35">
      <c r="A33" s="2">
        <v>32</v>
      </c>
      <c r="B33" s="3" t="s">
        <v>58</v>
      </c>
      <c r="C33" s="2">
        <v>3</v>
      </c>
      <c r="D33" s="2">
        <v>2</v>
      </c>
      <c r="E33" s="2">
        <v>3</v>
      </c>
      <c r="F33" s="2">
        <v>3</v>
      </c>
      <c r="G33" s="2">
        <v>2</v>
      </c>
      <c r="H33" s="2">
        <v>1</v>
      </c>
      <c r="I33" s="2">
        <v>4</v>
      </c>
      <c r="J33" s="2">
        <v>4</v>
      </c>
      <c r="K33" s="2">
        <v>3</v>
      </c>
      <c r="L33" s="2">
        <v>3</v>
      </c>
      <c r="M33" s="2">
        <v>4</v>
      </c>
      <c r="N33" s="2">
        <v>3</v>
      </c>
      <c r="O33" s="2">
        <v>4</v>
      </c>
      <c r="P33" s="2">
        <v>3</v>
      </c>
      <c r="Q33" s="2">
        <v>4</v>
      </c>
      <c r="R33" s="2">
        <v>2</v>
      </c>
      <c r="S33" s="2">
        <v>2</v>
      </c>
      <c r="T33" s="2">
        <v>2</v>
      </c>
      <c r="U33" s="2">
        <v>4</v>
      </c>
      <c r="V33" s="2">
        <v>4</v>
      </c>
      <c r="W33" s="2">
        <f t="shared" si="0"/>
        <v>60</v>
      </c>
      <c r="X33" s="2">
        <f t="shared" si="1"/>
        <v>80</v>
      </c>
      <c r="Y33" s="4" t="s">
        <v>26</v>
      </c>
    </row>
    <row r="34" spans="1:25" x14ac:dyDescent="0.35">
      <c r="A34" s="2">
        <v>33</v>
      </c>
      <c r="B34" s="3" t="s">
        <v>59</v>
      </c>
      <c r="C34" s="2">
        <v>3</v>
      </c>
      <c r="D34" s="2">
        <v>3</v>
      </c>
      <c r="E34" s="2">
        <v>3</v>
      </c>
      <c r="F34" s="2">
        <v>2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2</v>
      </c>
      <c r="W34" s="2">
        <f t="shared" si="0"/>
        <v>58</v>
      </c>
      <c r="X34" s="2">
        <f t="shared" si="1"/>
        <v>78</v>
      </c>
      <c r="Y34" s="4" t="s">
        <v>26</v>
      </c>
    </row>
    <row r="35" spans="1:25" x14ac:dyDescent="0.35">
      <c r="A35" s="2">
        <v>34</v>
      </c>
      <c r="B35" s="3" t="s">
        <v>60</v>
      </c>
      <c r="C35" s="2">
        <v>3</v>
      </c>
      <c r="D35" s="2">
        <v>3</v>
      </c>
      <c r="E35" s="2">
        <v>1</v>
      </c>
      <c r="F35" s="2">
        <v>4</v>
      </c>
      <c r="G35" s="2">
        <v>4</v>
      </c>
      <c r="H35" s="2">
        <v>1</v>
      </c>
      <c r="I35" s="2">
        <v>3</v>
      </c>
      <c r="J35" s="2">
        <v>3</v>
      </c>
      <c r="K35" s="2">
        <v>1</v>
      </c>
      <c r="L35" s="2">
        <v>4</v>
      </c>
      <c r="M35" s="2">
        <v>4</v>
      </c>
      <c r="N35" s="2">
        <v>1</v>
      </c>
      <c r="O35" s="2">
        <v>3</v>
      </c>
      <c r="P35" s="2">
        <v>3</v>
      </c>
      <c r="Q35" s="2">
        <v>2</v>
      </c>
      <c r="R35" s="2">
        <v>1</v>
      </c>
      <c r="S35" s="2">
        <v>2</v>
      </c>
      <c r="T35" s="2">
        <v>2</v>
      </c>
      <c r="U35" s="2">
        <v>2</v>
      </c>
      <c r="V35" s="2">
        <v>4</v>
      </c>
      <c r="W35" s="2">
        <f t="shared" si="0"/>
        <v>51</v>
      </c>
      <c r="X35" s="2">
        <f t="shared" si="1"/>
        <v>71</v>
      </c>
      <c r="Y35" s="4" t="s">
        <v>29</v>
      </c>
    </row>
    <row r="36" spans="1:25" x14ac:dyDescent="0.35">
      <c r="A36" s="2">
        <v>35</v>
      </c>
      <c r="B36" s="3" t="s">
        <v>61</v>
      </c>
      <c r="C36" s="2">
        <v>3</v>
      </c>
      <c r="D36" s="2">
        <v>2</v>
      </c>
      <c r="E36" s="2">
        <v>3</v>
      </c>
      <c r="F36" s="2">
        <v>3</v>
      </c>
      <c r="G36" s="2">
        <v>2</v>
      </c>
      <c r="H36" s="2">
        <v>3</v>
      </c>
      <c r="I36" s="2">
        <v>3</v>
      </c>
      <c r="J36" s="2">
        <v>2</v>
      </c>
      <c r="K36" s="2">
        <v>3</v>
      </c>
      <c r="L36" s="2">
        <v>2</v>
      </c>
      <c r="M36" s="2">
        <v>2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3</v>
      </c>
      <c r="W36" s="2">
        <f t="shared" si="0"/>
        <v>55</v>
      </c>
      <c r="X36" s="2">
        <f t="shared" si="1"/>
        <v>75</v>
      </c>
      <c r="Y36" s="4" t="s">
        <v>29</v>
      </c>
    </row>
    <row r="37" spans="1:25" x14ac:dyDescent="0.35">
      <c r="A37" s="2">
        <v>36</v>
      </c>
      <c r="B37" s="3" t="s">
        <v>62</v>
      </c>
      <c r="C37" s="2">
        <v>3</v>
      </c>
      <c r="D37" s="2">
        <v>2</v>
      </c>
      <c r="E37" s="2">
        <v>3</v>
      </c>
      <c r="F37" s="2">
        <v>3</v>
      </c>
      <c r="G37" s="2">
        <v>2</v>
      </c>
      <c r="H37" s="2">
        <v>4</v>
      </c>
      <c r="I37" s="2">
        <v>3</v>
      </c>
      <c r="J37" s="2">
        <v>3</v>
      </c>
      <c r="K37" s="2">
        <v>3</v>
      </c>
      <c r="L37" s="2">
        <v>4</v>
      </c>
      <c r="M37" s="2">
        <v>4</v>
      </c>
      <c r="N37" s="2">
        <v>3</v>
      </c>
      <c r="O37" s="2">
        <v>1</v>
      </c>
      <c r="P37" s="2">
        <v>2</v>
      </c>
      <c r="Q37" s="2">
        <v>2</v>
      </c>
      <c r="R37" s="2">
        <v>3</v>
      </c>
      <c r="S37" s="2">
        <v>4</v>
      </c>
      <c r="T37" s="2">
        <v>4</v>
      </c>
      <c r="U37" s="2">
        <v>3</v>
      </c>
      <c r="V37" s="2">
        <v>3</v>
      </c>
      <c r="W37" s="2">
        <f t="shared" si="0"/>
        <v>59</v>
      </c>
      <c r="X37" s="2">
        <f t="shared" si="1"/>
        <v>79</v>
      </c>
      <c r="Y37" s="4" t="s">
        <v>26</v>
      </c>
    </row>
    <row r="38" spans="1:25" x14ac:dyDescent="0.35">
      <c r="A38" s="2">
        <v>37</v>
      </c>
      <c r="B38" s="3" t="s">
        <v>63</v>
      </c>
      <c r="C38" s="2">
        <v>3</v>
      </c>
      <c r="D38" s="2">
        <v>3</v>
      </c>
      <c r="E38" s="2">
        <v>4</v>
      </c>
      <c r="F38" s="2">
        <v>3</v>
      </c>
      <c r="G38" s="2">
        <v>4</v>
      </c>
      <c r="H38" s="2">
        <v>3</v>
      </c>
      <c r="I38" s="2">
        <v>4</v>
      </c>
      <c r="J38" s="2">
        <v>4</v>
      </c>
      <c r="K38" s="2">
        <v>3</v>
      </c>
      <c r="L38" s="2">
        <v>2</v>
      </c>
      <c r="M38" s="2">
        <v>4</v>
      </c>
      <c r="N38" s="2">
        <v>2</v>
      </c>
      <c r="O38" s="2">
        <v>4</v>
      </c>
      <c r="P38" s="2">
        <v>3</v>
      </c>
      <c r="Q38" s="2">
        <v>2</v>
      </c>
      <c r="R38" s="2">
        <v>3</v>
      </c>
      <c r="S38" s="2">
        <v>2</v>
      </c>
      <c r="T38" s="2">
        <v>1</v>
      </c>
      <c r="U38" s="2">
        <v>1</v>
      </c>
      <c r="V38" s="2">
        <v>2</v>
      </c>
      <c r="W38" s="2">
        <f t="shared" si="0"/>
        <v>57</v>
      </c>
      <c r="X38" s="2">
        <f t="shared" si="1"/>
        <v>77</v>
      </c>
      <c r="Y38" s="4" t="s">
        <v>26</v>
      </c>
    </row>
    <row r="39" spans="1:25" x14ac:dyDescent="0.35">
      <c r="A39" s="2">
        <v>38</v>
      </c>
      <c r="B39" s="3" t="s">
        <v>64</v>
      </c>
      <c r="C39" s="2">
        <v>1</v>
      </c>
      <c r="D39" s="2">
        <v>1</v>
      </c>
      <c r="E39" s="2">
        <v>3</v>
      </c>
      <c r="F39" s="2">
        <v>2</v>
      </c>
      <c r="G39" s="2">
        <v>3</v>
      </c>
      <c r="H39" s="2">
        <v>1</v>
      </c>
      <c r="I39" s="2">
        <v>2</v>
      </c>
      <c r="J39" s="2">
        <v>4</v>
      </c>
      <c r="K39" s="2">
        <v>4</v>
      </c>
      <c r="L39" s="2">
        <v>3</v>
      </c>
      <c r="M39" s="2">
        <v>4</v>
      </c>
      <c r="N39" s="2">
        <v>3</v>
      </c>
      <c r="O39" s="2">
        <v>3</v>
      </c>
      <c r="P39" s="2">
        <v>4</v>
      </c>
      <c r="Q39" s="2">
        <v>2</v>
      </c>
      <c r="R39" s="2">
        <v>4</v>
      </c>
      <c r="S39" s="2">
        <v>4</v>
      </c>
      <c r="T39" s="2">
        <v>4</v>
      </c>
      <c r="U39" s="2">
        <v>2</v>
      </c>
      <c r="V39" s="2">
        <v>3</v>
      </c>
      <c r="W39" s="2">
        <f t="shared" si="0"/>
        <v>57</v>
      </c>
      <c r="X39" s="2">
        <f t="shared" si="1"/>
        <v>77</v>
      </c>
      <c r="Y39" s="4" t="s">
        <v>26</v>
      </c>
    </row>
    <row r="40" spans="1:25" x14ac:dyDescent="0.35">
      <c r="A40" s="2">
        <v>39</v>
      </c>
      <c r="B40" s="3" t="s">
        <v>65</v>
      </c>
      <c r="C40" s="2">
        <v>3</v>
      </c>
      <c r="D40" s="2">
        <v>3</v>
      </c>
      <c r="E40" s="2">
        <v>3</v>
      </c>
      <c r="F40" s="2">
        <v>3</v>
      </c>
      <c r="G40" s="2">
        <v>4</v>
      </c>
      <c r="H40" s="2">
        <v>3</v>
      </c>
      <c r="I40" s="2">
        <v>3</v>
      </c>
      <c r="J40" s="2">
        <v>2</v>
      </c>
      <c r="K40" s="2">
        <v>3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3</v>
      </c>
      <c r="R40" s="2">
        <v>2</v>
      </c>
      <c r="S40" s="2">
        <v>3</v>
      </c>
      <c r="T40" s="2">
        <v>1</v>
      </c>
      <c r="U40" s="2">
        <v>2</v>
      </c>
      <c r="V40" s="2">
        <v>3</v>
      </c>
      <c r="W40" s="2">
        <f t="shared" si="0"/>
        <v>56</v>
      </c>
      <c r="X40" s="2">
        <f t="shared" si="1"/>
        <v>76</v>
      </c>
      <c r="Y40" s="4" t="s">
        <v>26</v>
      </c>
    </row>
    <row r="41" spans="1:25" x14ac:dyDescent="0.35">
      <c r="A41" s="2">
        <v>40</v>
      </c>
      <c r="B41" s="3" t="s">
        <v>66</v>
      </c>
      <c r="C41" s="2">
        <v>3</v>
      </c>
      <c r="D41" s="2">
        <v>1</v>
      </c>
      <c r="E41" s="2">
        <v>3</v>
      </c>
      <c r="F41" s="2">
        <v>2</v>
      </c>
      <c r="G41" s="2">
        <v>1</v>
      </c>
      <c r="H41" s="2">
        <v>3</v>
      </c>
      <c r="I41" s="2">
        <v>1</v>
      </c>
      <c r="J41" s="2">
        <v>4</v>
      </c>
      <c r="K41" s="2">
        <v>2</v>
      </c>
      <c r="L41" s="2">
        <v>1</v>
      </c>
      <c r="M41" s="2">
        <v>4</v>
      </c>
      <c r="N41" s="2">
        <v>2</v>
      </c>
      <c r="O41" s="2">
        <v>1</v>
      </c>
      <c r="P41" s="2">
        <v>4</v>
      </c>
      <c r="Q41" s="2">
        <v>4</v>
      </c>
      <c r="R41" s="2">
        <v>4</v>
      </c>
      <c r="S41" s="2">
        <v>1</v>
      </c>
      <c r="T41" s="2">
        <v>4</v>
      </c>
      <c r="U41" s="2">
        <v>1</v>
      </c>
      <c r="V41" s="2">
        <v>1</v>
      </c>
      <c r="W41" s="2">
        <f t="shared" si="0"/>
        <v>47</v>
      </c>
      <c r="X41" s="2">
        <f t="shared" si="1"/>
        <v>67</v>
      </c>
      <c r="Y41" s="4" t="s">
        <v>29</v>
      </c>
    </row>
    <row r="42" spans="1:25" x14ac:dyDescent="0.35">
      <c r="A42" s="2">
        <v>41</v>
      </c>
      <c r="B42" s="3" t="s">
        <v>67</v>
      </c>
      <c r="C42" s="2">
        <v>4</v>
      </c>
      <c r="D42" s="2">
        <v>4</v>
      </c>
      <c r="E42" s="2">
        <v>4</v>
      </c>
      <c r="F42" s="2">
        <v>3</v>
      </c>
      <c r="G42" s="2">
        <v>2</v>
      </c>
      <c r="H42" s="2">
        <v>3</v>
      </c>
      <c r="I42" s="2">
        <v>4</v>
      </c>
      <c r="J42" s="2">
        <v>3</v>
      </c>
      <c r="K42" s="2">
        <v>3</v>
      </c>
      <c r="L42" s="2">
        <v>4</v>
      </c>
      <c r="M42" s="2">
        <v>4</v>
      </c>
      <c r="N42" s="2">
        <v>3</v>
      </c>
      <c r="O42" s="2">
        <v>4</v>
      </c>
      <c r="P42" s="2">
        <v>4</v>
      </c>
      <c r="Q42" s="2">
        <v>2</v>
      </c>
      <c r="R42" s="2">
        <v>3</v>
      </c>
      <c r="S42" s="2">
        <v>4</v>
      </c>
      <c r="T42" s="2">
        <v>3</v>
      </c>
      <c r="U42" s="2">
        <v>3</v>
      </c>
      <c r="V42" s="2">
        <v>4</v>
      </c>
      <c r="W42" s="2">
        <f t="shared" si="0"/>
        <v>68</v>
      </c>
      <c r="X42" s="2">
        <f t="shared" si="1"/>
        <v>88</v>
      </c>
      <c r="Y42" s="4" t="s">
        <v>26</v>
      </c>
    </row>
    <row r="43" spans="1:25" x14ac:dyDescent="0.35">
      <c r="A43" s="2">
        <v>42</v>
      </c>
      <c r="B43" s="3" t="s">
        <v>68</v>
      </c>
      <c r="C43" s="2">
        <v>3</v>
      </c>
      <c r="D43" s="2">
        <v>3</v>
      </c>
      <c r="E43" s="2">
        <v>3</v>
      </c>
      <c r="F43" s="2">
        <v>2</v>
      </c>
      <c r="G43" s="2">
        <v>3</v>
      </c>
      <c r="H43" s="2">
        <v>4</v>
      </c>
      <c r="I43" s="2">
        <v>4</v>
      </c>
      <c r="J43" s="2">
        <v>2</v>
      </c>
      <c r="K43" s="2">
        <v>3</v>
      </c>
      <c r="L43" s="2">
        <v>3</v>
      </c>
      <c r="M43" s="2">
        <v>4</v>
      </c>
      <c r="N43" s="2">
        <v>3</v>
      </c>
      <c r="O43" s="2">
        <v>2</v>
      </c>
      <c r="P43" s="2">
        <v>4</v>
      </c>
      <c r="Q43" s="2">
        <v>3</v>
      </c>
      <c r="R43" s="2">
        <v>4</v>
      </c>
      <c r="S43" s="2">
        <v>3</v>
      </c>
      <c r="T43" s="2">
        <v>3</v>
      </c>
      <c r="U43" s="2">
        <v>3</v>
      </c>
      <c r="V43" s="2">
        <v>1</v>
      </c>
      <c r="W43" s="2">
        <f t="shared" si="0"/>
        <v>60</v>
      </c>
      <c r="X43" s="2">
        <f t="shared" si="1"/>
        <v>80</v>
      </c>
      <c r="Y43" s="4" t="s">
        <v>26</v>
      </c>
    </row>
    <row r="44" spans="1:25" x14ac:dyDescent="0.35">
      <c r="A44" s="5"/>
      <c r="B44" s="3" t="s">
        <v>69</v>
      </c>
      <c r="C44" s="5">
        <f>SUM(C2:C43)</f>
        <v>126</v>
      </c>
      <c r="D44" s="5">
        <f t="shared" ref="D44:W44" si="2">SUM(D2:D43)</f>
        <v>118</v>
      </c>
      <c r="E44" s="5">
        <f t="shared" si="2"/>
        <v>125</v>
      </c>
      <c r="F44" s="5">
        <f t="shared" si="2"/>
        <v>110</v>
      </c>
      <c r="G44" s="5">
        <f t="shared" si="2"/>
        <v>113</v>
      </c>
      <c r="H44" s="5">
        <f t="shared" si="2"/>
        <v>126</v>
      </c>
      <c r="I44" s="5">
        <f t="shared" si="2"/>
        <v>118</v>
      </c>
      <c r="J44" s="5">
        <f t="shared" si="2"/>
        <v>107</v>
      </c>
      <c r="K44" s="5">
        <f t="shared" si="2"/>
        <v>115</v>
      </c>
      <c r="L44" s="5">
        <f t="shared" si="2"/>
        <v>116</v>
      </c>
      <c r="M44" s="5">
        <f t="shared" si="2"/>
        <v>122</v>
      </c>
      <c r="N44" s="5">
        <f t="shared" si="2"/>
        <v>115</v>
      </c>
      <c r="O44" s="5">
        <f t="shared" si="2"/>
        <v>110</v>
      </c>
      <c r="P44" s="5">
        <f t="shared" si="2"/>
        <v>127</v>
      </c>
      <c r="Q44" s="5">
        <f t="shared" si="2"/>
        <v>120</v>
      </c>
      <c r="R44" s="5">
        <f t="shared" si="2"/>
        <v>121</v>
      </c>
      <c r="S44" s="5">
        <f t="shared" si="2"/>
        <v>119</v>
      </c>
      <c r="T44" s="5">
        <f t="shared" si="2"/>
        <v>115</v>
      </c>
      <c r="U44" s="5">
        <f t="shared" si="2"/>
        <v>112</v>
      </c>
      <c r="V44" s="5">
        <f t="shared" si="2"/>
        <v>105</v>
      </c>
      <c r="W44" s="5">
        <f t="shared" si="2"/>
        <v>2340</v>
      </c>
      <c r="X44" s="5">
        <f>SUM(X2:X43)</f>
        <v>3180</v>
      </c>
      <c r="Y44" s="4"/>
    </row>
    <row r="45" spans="1:25" x14ac:dyDescent="0.35">
      <c r="A45" s="5"/>
      <c r="B45" s="3" t="s">
        <v>70</v>
      </c>
      <c r="C45" s="5">
        <f>4*42</f>
        <v>168</v>
      </c>
      <c r="D45" s="5">
        <f t="shared" ref="D45:V45" si="3">4*42</f>
        <v>168</v>
      </c>
      <c r="E45" s="5">
        <f t="shared" si="3"/>
        <v>168</v>
      </c>
      <c r="F45" s="5">
        <f t="shared" si="3"/>
        <v>168</v>
      </c>
      <c r="G45" s="5">
        <f t="shared" si="3"/>
        <v>168</v>
      </c>
      <c r="H45" s="5">
        <f t="shared" si="3"/>
        <v>168</v>
      </c>
      <c r="I45" s="5">
        <f t="shared" si="3"/>
        <v>168</v>
      </c>
      <c r="J45" s="5">
        <f t="shared" si="3"/>
        <v>168</v>
      </c>
      <c r="K45" s="5">
        <f t="shared" si="3"/>
        <v>168</v>
      </c>
      <c r="L45" s="5">
        <f t="shared" si="3"/>
        <v>168</v>
      </c>
      <c r="M45" s="5">
        <f t="shared" si="3"/>
        <v>168</v>
      </c>
      <c r="N45" s="5">
        <f t="shared" si="3"/>
        <v>168</v>
      </c>
      <c r="O45" s="5">
        <f t="shared" si="3"/>
        <v>168</v>
      </c>
      <c r="P45" s="5">
        <f t="shared" si="3"/>
        <v>168</v>
      </c>
      <c r="Q45" s="5">
        <f t="shared" si="3"/>
        <v>168</v>
      </c>
      <c r="R45" s="5">
        <f t="shared" si="3"/>
        <v>168</v>
      </c>
      <c r="S45" s="5">
        <f t="shared" si="3"/>
        <v>168</v>
      </c>
      <c r="T45" s="5">
        <f t="shared" si="3"/>
        <v>168</v>
      </c>
      <c r="U45" s="5">
        <f t="shared" si="3"/>
        <v>168</v>
      </c>
      <c r="V45" s="5">
        <f t="shared" si="3"/>
        <v>168</v>
      </c>
      <c r="W45" s="5"/>
      <c r="X45" s="5"/>
      <c r="Y45" s="4"/>
    </row>
    <row r="46" spans="1:25" x14ac:dyDescent="0.35">
      <c r="A46" s="5"/>
      <c r="B46" s="3" t="s">
        <v>71</v>
      </c>
      <c r="C46" s="5">
        <f>C44/C45*100</f>
        <v>75</v>
      </c>
      <c r="D46" s="6">
        <f t="shared" ref="D46:V46" si="4">D44/D45*100</f>
        <v>70.238095238095227</v>
      </c>
      <c r="E46" s="6">
        <f t="shared" si="4"/>
        <v>74.404761904761912</v>
      </c>
      <c r="F46" s="6">
        <f t="shared" si="4"/>
        <v>65.476190476190482</v>
      </c>
      <c r="G46" s="6">
        <f t="shared" si="4"/>
        <v>67.261904761904773</v>
      </c>
      <c r="H46" s="5">
        <f t="shared" si="4"/>
        <v>75</v>
      </c>
      <c r="I46" s="6">
        <f t="shared" si="4"/>
        <v>70.238095238095227</v>
      </c>
      <c r="J46" s="6">
        <f t="shared" si="4"/>
        <v>63.69047619047619</v>
      </c>
      <c r="K46" s="6">
        <f t="shared" si="4"/>
        <v>68.452380952380949</v>
      </c>
      <c r="L46" s="6">
        <f t="shared" si="4"/>
        <v>69.047619047619051</v>
      </c>
      <c r="M46" s="6">
        <f t="shared" si="4"/>
        <v>72.61904761904762</v>
      </c>
      <c r="N46" s="6">
        <f t="shared" si="4"/>
        <v>68.452380952380949</v>
      </c>
      <c r="O46" s="6">
        <f t="shared" si="4"/>
        <v>65.476190476190482</v>
      </c>
      <c r="P46" s="6">
        <f t="shared" si="4"/>
        <v>75.595238095238088</v>
      </c>
      <c r="Q46" s="6">
        <f t="shared" si="4"/>
        <v>71.428571428571431</v>
      </c>
      <c r="R46" s="6">
        <f t="shared" si="4"/>
        <v>72.023809523809518</v>
      </c>
      <c r="S46" s="6">
        <f t="shared" si="4"/>
        <v>70.833333333333343</v>
      </c>
      <c r="T46" s="6">
        <f t="shared" si="4"/>
        <v>68.452380952380949</v>
      </c>
      <c r="U46" s="6">
        <f t="shared" si="4"/>
        <v>66.666666666666657</v>
      </c>
      <c r="V46" s="5">
        <f t="shared" si="4"/>
        <v>62.5</v>
      </c>
      <c r="W46" s="5"/>
      <c r="X46" s="5"/>
      <c r="Y46" s="4"/>
    </row>
    <row r="47" spans="1:25" x14ac:dyDescent="0.35">
      <c r="A47" s="5"/>
      <c r="B47" s="3" t="s">
        <v>72</v>
      </c>
      <c r="C47" s="5">
        <f>AVERAGE(C2:C43)</f>
        <v>3</v>
      </c>
      <c r="D47" s="6">
        <f t="shared" ref="D47:V47" si="5">AVERAGE(D2:D43)</f>
        <v>2.8095238095238093</v>
      </c>
      <c r="E47" s="6">
        <f t="shared" si="5"/>
        <v>2.9761904761904763</v>
      </c>
      <c r="F47" s="6">
        <f t="shared" si="5"/>
        <v>2.6190476190476191</v>
      </c>
      <c r="G47" s="6">
        <f t="shared" si="5"/>
        <v>2.6904761904761907</v>
      </c>
      <c r="H47" s="6">
        <f t="shared" si="5"/>
        <v>3</v>
      </c>
      <c r="I47" s="6">
        <f t="shared" si="5"/>
        <v>2.8095238095238093</v>
      </c>
      <c r="J47" s="6">
        <f t="shared" si="5"/>
        <v>2.5476190476190474</v>
      </c>
      <c r="K47" s="6">
        <f t="shared" si="5"/>
        <v>2.7380952380952381</v>
      </c>
      <c r="L47" s="6">
        <f t="shared" si="5"/>
        <v>2.7619047619047619</v>
      </c>
      <c r="M47" s="6">
        <f t="shared" si="5"/>
        <v>2.9047619047619047</v>
      </c>
      <c r="N47" s="6">
        <f t="shared" si="5"/>
        <v>2.7380952380952381</v>
      </c>
      <c r="O47" s="6">
        <f t="shared" si="5"/>
        <v>2.6190476190476191</v>
      </c>
      <c r="P47" s="6">
        <f t="shared" si="5"/>
        <v>3.0238095238095237</v>
      </c>
      <c r="Q47" s="6">
        <f t="shared" si="5"/>
        <v>2.8571428571428572</v>
      </c>
      <c r="R47" s="6">
        <f t="shared" si="5"/>
        <v>2.8809523809523809</v>
      </c>
      <c r="S47" s="6">
        <f t="shared" si="5"/>
        <v>2.8333333333333335</v>
      </c>
      <c r="T47" s="6">
        <f t="shared" si="5"/>
        <v>2.7380952380952381</v>
      </c>
      <c r="U47" s="6">
        <f t="shared" si="5"/>
        <v>2.6666666666666665</v>
      </c>
      <c r="V47" s="6">
        <f t="shared" si="5"/>
        <v>2.5</v>
      </c>
      <c r="W47" s="5"/>
      <c r="X47" s="5"/>
      <c r="Y4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24A7-DAFB-4382-9429-301F1E3F6CC7}">
  <dimension ref="A1:Y47"/>
  <sheetViews>
    <sheetView tabSelected="1" workbookViewId="0">
      <selection activeCell="E15" sqref="E15"/>
    </sheetView>
  </sheetViews>
  <sheetFormatPr defaultRowHeight="14.5" x14ac:dyDescent="0.35"/>
  <cols>
    <col min="2" max="2" width="28.54296875" customWidth="1"/>
    <col min="3" max="3" width="12.81640625" customWidth="1"/>
    <col min="25" max="25" width="13.179687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1</v>
      </c>
      <c r="B2" s="3" t="s">
        <v>25</v>
      </c>
      <c r="C2" s="2">
        <v>3</v>
      </c>
      <c r="D2" s="2">
        <v>3</v>
      </c>
      <c r="E2" s="2">
        <v>2</v>
      </c>
      <c r="F2" s="2">
        <v>3</v>
      </c>
      <c r="G2" s="2">
        <v>2</v>
      </c>
      <c r="H2" s="2">
        <v>4</v>
      </c>
      <c r="I2" s="2">
        <v>3</v>
      </c>
      <c r="J2" s="2">
        <v>2</v>
      </c>
      <c r="K2" s="2">
        <v>4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2</v>
      </c>
      <c r="R2" s="2">
        <v>2</v>
      </c>
      <c r="S2" s="2">
        <v>3</v>
      </c>
      <c r="T2" s="2">
        <v>3</v>
      </c>
      <c r="U2" s="2">
        <v>4</v>
      </c>
      <c r="V2" s="2">
        <v>2</v>
      </c>
      <c r="W2" s="2">
        <f>SUM(C2:V2)</f>
        <v>57</v>
      </c>
      <c r="X2" s="2">
        <f>W2/80*100</f>
        <v>71.25</v>
      </c>
      <c r="Y2" s="7" t="s">
        <v>29</v>
      </c>
    </row>
    <row r="3" spans="1:25" x14ac:dyDescent="0.35">
      <c r="A3" s="2">
        <v>2</v>
      </c>
      <c r="B3" s="3" t="s">
        <v>27</v>
      </c>
      <c r="C3" s="2">
        <v>1</v>
      </c>
      <c r="D3" s="2">
        <v>4</v>
      </c>
      <c r="E3" s="2">
        <v>3</v>
      </c>
      <c r="F3" s="2">
        <v>4</v>
      </c>
      <c r="G3" s="2">
        <v>4</v>
      </c>
      <c r="H3" s="2">
        <v>1</v>
      </c>
      <c r="I3" s="2">
        <v>4</v>
      </c>
      <c r="J3" s="2">
        <v>4</v>
      </c>
      <c r="K3" s="2">
        <v>1</v>
      </c>
      <c r="L3" s="2">
        <v>4</v>
      </c>
      <c r="M3" s="2">
        <v>4</v>
      </c>
      <c r="N3" s="2">
        <v>1</v>
      </c>
      <c r="O3" s="2">
        <v>4</v>
      </c>
      <c r="P3" s="2">
        <v>4</v>
      </c>
      <c r="Q3" s="2">
        <v>1</v>
      </c>
      <c r="R3" s="2">
        <v>3</v>
      </c>
      <c r="S3" s="2">
        <v>3</v>
      </c>
      <c r="T3" s="2">
        <v>3</v>
      </c>
      <c r="U3" s="2">
        <v>3</v>
      </c>
      <c r="V3" s="2">
        <v>2</v>
      </c>
      <c r="W3" s="2">
        <f t="shared" ref="W3:W43" si="0">SUM(C3:V3)</f>
        <v>58</v>
      </c>
      <c r="X3" s="2">
        <f t="shared" ref="X3:X43" si="1">W3/80*100</f>
        <v>72.5</v>
      </c>
      <c r="Y3" s="7" t="s">
        <v>29</v>
      </c>
    </row>
    <row r="4" spans="1:25" x14ac:dyDescent="0.35">
      <c r="A4" s="2">
        <v>3</v>
      </c>
      <c r="B4" s="3" t="s">
        <v>28</v>
      </c>
      <c r="C4" s="2">
        <v>3</v>
      </c>
      <c r="D4" s="2">
        <v>3</v>
      </c>
      <c r="E4" s="2">
        <v>4</v>
      </c>
      <c r="F4" s="2">
        <v>3</v>
      </c>
      <c r="G4" s="2">
        <v>3</v>
      </c>
      <c r="H4" s="2">
        <v>4</v>
      </c>
      <c r="I4" s="2">
        <v>4</v>
      </c>
      <c r="J4" s="2">
        <v>3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4</v>
      </c>
      <c r="Q4" s="2">
        <v>3</v>
      </c>
      <c r="R4" s="2">
        <v>2</v>
      </c>
      <c r="S4" s="2">
        <v>1</v>
      </c>
      <c r="T4" s="2">
        <v>3</v>
      </c>
      <c r="U4" s="2">
        <v>2</v>
      </c>
      <c r="V4" s="2">
        <v>1</v>
      </c>
      <c r="W4" s="2">
        <f t="shared" si="0"/>
        <v>50</v>
      </c>
      <c r="X4" s="2">
        <f t="shared" si="1"/>
        <v>62.5</v>
      </c>
      <c r="Y4" s="7" t="s">
        <v>29</v>
      </c>
    </row>
    <row r="5" spans="1:25" x14ac:dyDescent="0.35">
      <c r="A5" s="2">
        <v>4</v>
      </c>
      <c r="B5" s="3" t="s">
        <v>30</v>
      </c>
      <c r="C5" s="2">
        <v>3</v>
      </c>
      <c r="D5" s="2">
        <v>3</v>
      </c>
      <c r="E5" s="2">
        <v>3</v>
      </c>
      <c r="F5" s="2">
        <v>2</v>
      </c>
      <c r="G5" s="2">
        <v>3</v>
      </c>
      <c r="H5" s="2">
        <v>3</v>
      </c>
      <c r="I5" s="2">
        <v>3</v>
      </c>
      <c r="J5" s="2">
        <v>2</v>
      </c>
      <c r="K5" s="2">
        <v>2</v>
      </c>
      <c r="L5" s="2">
        <v>3</v>
      </c>
      <c r="M5" s="2">
        <v>3</v>
      </c>
      <c r="N5" s="2">
        <v>3</v>
      </c>
      <c r="O5" s="2">
        <v>2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2</v>
      </c>
      <c r="V5" s="2">
        <v>2</v>
      </c>
      <c r="W5" s="2">
        <f t="shared" si="0"/>
        <v>54</v>
      </c>
      <c r="X5" s="2">
        <f t="shared" si="1"/>
        <v>67.5</v>
      </c>
      <c r="Y5" s="7" t="s">
        <v>29</v>
      </c>
    </row>
    <row r="6" spans="1:25" x14ac:dyDescent="0.35">
      <c r="A6" s="2">
        <v>5</v>
      </c>
      <c r="B6" s="3" t="s">
        <v>31</v>
      </c>
      <c r="C6" s="2">
        <v>3</v>
      </c>
      <c r="D6" s="2">
        <v>4</v>
      </c>
      <c r="E6" s="2">
        <v>3</v>
      </c>
      <c r="F6" s="2">
        <v>2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2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f t="shared" si="0"/>
        <v>59</v>
      </c>
      <c r="X6" s="2">
        <f t="shared" si="1"/>
        <v>73.75</v>
      </c>
      <c r="Y6" s="7" t="s">
        <v>29</v>
      </c>
    </row>
    <row r="7" spans="1:25" x14ac:dyDescent="0.35">
      <c r="A7" s="2">
        <v>6</v>
      </c>
      <c r="B7" s="3" t="s">
        <v>32</v>
      </c>
      <c r="C7" s="2">
        <v>3</v>
      </c>
      <c r="D7" s="2">
        <v>3</v>
      </c>
      <c r="E7" s="2">
        <v>1</v>
      </c>
      <c r="F7" s="2">
        <v>3</v>
      </c>
      <c r="G7" s="2">
        <v>3</v>
      </c>
      <c r="H7" s="2">
        <v>3</v>
      </c>
      <c r="I7" s="2">
        <v>1</v>
      </c>
      <c r="J7" s="2">
        <v>4</v>
      </c>
      <c r="K7" s="2">
        <v>3</v>
      </c>
      <c r="L7" s="2">
        <v>4</v>
      </c>
      <c r="M7" s="2">
        <v>4</v>
      </c>
      <c r="N7" s="2">
        <v>3</v>
      </c>
      <c r="O7" s="2">
        <v>4</v>
      </c>
      <c r="P7" s="2">
        <v>3</v>
      </c>
      <c r="Q7" s="2">
        <v>4</v>
      </c>
      <c r="R7" s="2">
        <v>3</v>
      </c>
      <c r="S7" s="2">
        <v>2</v>
      </c>
      <c r="T7" s="2">
        <v>1</v>
      </c>
      <c r="U7" s="2">
        <v>3</v>
      </c>
      <c r="V7" s="2">
        <v>4</v>
      </c>
      <c r="W7" s="2">
        <f t="shared" si="0"/>
        <v>59</v>
      </c>
      <c r="X7" s="2">
        <f t="shared" si="1"/>
        <v>73.75</v>
      </c>
      <c r="Y7" s="7" t="s">
        <v>29</v>
      </c>
    </row>
    <row r="8" spans="1:25" x14ac:dyDescent="0.35">
      <c r="A8" s="2">
        <v>7</v>
      </c>
      <c r="B8" s="3" t="s">
        <v>33</v>
      </c>
      <c r="C8" s="2">
        <v>4</v>
      </c>
      <c r="D8" s="2">
        <v>4</v>
      </c>
      <c r="E8" s="2">
        <v>3</v>
      </c>
      <c r="F8" s="2">
        <v>3</v>
      </c>
      <c r="G8" s="2">
        <v>3</v>
      </c>
      <c r="H8" s="2">
        <v>4</v>
      </c>
      <c r="I8" s="2">
        <v>4</v>
      </c>
      <c r="J8" s="2">
        <v>3</v>
      </c>
      <c r="K8" s="2">
        <v>3</v>
      </c>
      <c r="L8" s="2">
        <v>2</v>
      </c>
      <c r="M8" s="2">
        <v>4</v>
      </c>
      <c r="N8" s="2">
        <v>1</v>
      </c>
      <c r="O8" s="2">
        <v>3</v>
      </c>
      <c r="P8" s="2">
        <v>4</v>
      </c>
      <c r="Q8" s="2">
        <v>2</v>
      </c>
      <c r="R8" s="2">
        <v>3</v>
      </c>
      <c r="S8" s="2">
        <v>3</v>
      </c>
      <c r="T8" s="2">
        <v>2</v>
      </c>
      <c r="U8" s="2">
        <v>3</v>
      </c>
      <c r="V8" s="2">
        <v>2</v>
      </c>
      <c r="W8" s="2">
        <f t="shared" si="0"/>
        <v>60</v>
      </c>
      <c r="X8" s="2">
        <f t="shared" si="1"/>
        <v>75</v>
      </c>
      <c r="Y8" s="7" t="s">
        <v>29</v>
      </c>
    </row>
    <row r="9" spans="1:25" x14ac:dyDescent="0.35">
      <c r="A9" s="2">
        <v>8</v>
      </c>
      <c r="B9" s="3" t="s">
        <v>34</v>
      </c>
      <c r="C9" s="2">
        <v>3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3</v>
      </c>
      <c r="J9" s="2">
        <v>1</v>
      </c>
      <c r="K9" s="2">
        <v>3</v>
      </c>
      <c r="L9" s="2">
        <v>3</v>
      </c>
      <c r="M9" s="2">
        <v>4</v>
      </c>
      <c r="N9" s="2">
        <v>4</v>
      </c>
      <c r="O9" s="2">
        <v>3</v>
      </c>
      <c r="P9" s="2">
        <v>3</v>
      </c>
      <c r="Q9" s="2">
        <v>2</v>
      </c>
      <c r="R9" s="2">
        <v>4</v>
      </c>
      <c r="S9" s="2">
        <v>3</v>
      </c>
      <c r="T9" s="2">
        <v>3</v>
      </c>
      <c r="U9" s="2">
        <v>3</v>
      </c>
      <c r="V9" s="2">
        <v>4</v>
      </c>
      <c r="W9" s="2">
        <f t="shared" si="0"/>
        <v>66</v>
      </c>
      <c r="X9" s="2">
        <f t="shared" si="1"/>
        <v>82.5</v>
      </c>
      <c r="Y9" s="7" t="s">
        <v>26</v>
      </c>
    </row>
    <row r="10" spans="1:25" x14ac:dyDescent="0.35">
      <c r="A10" s="2">
        <v>9</v>
      </c>
      <c r="B10" s="3" t="s">
        <v>35</v>
      </c>
      <c r="C10" s="2">
        <v>3</v>
      </c>
      <c r="D10" s="2">
        <v>3</v>
      </c>
      <c r="E10" s="2">
        <v>3</v>
      </c>
      <c r="F10" s="2">
        <v>1</v>
      </c>
      <c r="G10" s="2">
        <v>3</v>
      </c>
      <c r="H10" s="2">
        <v>4</v>
      </c>
      <c r="I10" s="2">
        <v>3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2</v>
      </c>
      <c r="P10" s="2">
        <v>2</v>
      </c>
      <c r="Q10" s="2">
        <v>3</v>
      </c>
      <c r="R10" s="2">
        <v>2</v>
      </c>
      <c r="S10" s="2">
        <v>4</v>
      </c>
      <c r="T10" s="2">
        <v>3</v>
      </c>
      <c r="U10" s="2">
        <v>2</v>
      </c>
      <c r="V10" s="2">
        <v>4</v>
      </c>
      <c r="W10" s="2">
        <f t="shared" si="0"/>
        <v>57</v>
      </c>
      <c r="X10" s="2">
        <f t="shared" si="1"/>
        <v>71.25</v>
      </c>
      <c r="Y10" s="7" t="s">
        <v>29</v>
      </c>
    </row>
    <row r="11" spans="1:25" x14ac:dyDescent="0.35">
      <c r="A11" s="2">
        <v>10</v>
      </c>
      <c r="B11" s="3" t="s">
        <v>36</v>
      </c>
      <c r="C11" s="2">
        <v>3</v>
      </c>
      <c r="D11" s="2">
        <v>3</v>
      </c>
      <c r="E11" s="2">
        <v>3</v>
      </c>
      <c r="F11" s="2">
        <v>1</v>
      </c>
      <c r="G11" s="2">
        <v>3</v>
      </c>
      <c r="H11" s="2">
        <v>4</v>
      </c>
      <c r="I11" s="2">
        <v>3</v>
      </c>
      <c r="J11" s="2">
        <v>2</v>
      </c>
      <c r="K11" s="2">
        <v>3</v>
      </c>
      <c r="L11" s="2">
        <v>3</v>
      </c>
      <c r="M11" s="2">
        <v>4</v>
      </c>
      <c r="N11" s="2">
        <v>3</v>
      </c>
      <c r="O11" s="2">
        <v>2</v>
      </c>
      <c r="P11" s="2">
        <v>3</v>
      </c>
      <c r="Q11" s="2">
        <v>3</v>
      </c>
      <c r="R11" s="2">
        <v>2</v>
      </c>
      <c r="S11" s="2">
        <v>4</v>
      </c>
      <c r="T11" s="2">
        <v>3</v>
      </c>
      <c r="U11" s="2">
        <v>2</v>
      </c>
      <c r="V11" s="2">
        <v>1</v>
      </c>
      <c r="W11" s="2">
        <f t="shared" si="0"/>
        <v>55</v>
      </c>
      <c r="X11" s="2">
        <f t="shared" si="1"/>
        <v>68.75</v>
      </c>
      <c r="Y11" s="7" t="s">
        <v>29</v>
      </c>
    </row>
    <row r="12" spans="1:25" x14ac:dyDescent="0.35">
      <c r="A12" s="2">
        <v>11</v>
      </c>
      <c r="B12" s="3" t="s">
        <v>37</v>
      </c>
      <c r="C12" s="2">
        <v>3</v>
      </c>
      <c r="D12" s="2">
        <v>1</v>
      </c>
      <c r="E12" s="2">
        <v>3</v>
      </c>
      <c r="F12" s="2">
        <v>1</v>
      </c>
      <c r="G12" s="2">
        <v>3</v>
      </c>
      <c r="H12" s="2">
        <v>2</v>
      </c>
      <c r="I12" s="2">
        <v>3</v>
      </c>
      <c r="J12" s="2">
        <v>1</v>
      </c>
      <c r="K12" s="2">
        <v>1</v>
      </c>
      <c r="L12" s="2">
        <v>3</v>
      </c>
      <c r="M12" s="2">
        <v>3</v>
      </c>
      <c r="N12" s="2">
        <v>4</v>
      </c>
      <c r="O12" s="2">
        <v>4</v>
      </c>
      <c r="P12" s="2">
        <v>3</v>
      </c>
      <c r="Q12" s="2">
        <v>3</v>
      </c>
      <c r="R12" s="2">
        <v>1</v>
      </c>
      <c r="S12" s="2">
        <v>4</v>
      </c>
      <c r="T12" s="2">
        <v>4</v>
      </c>
      <c r="U12" s="2">
        <v>3</v>
      </c>
      <c r="V12" s="2">
        <v>1</v>
      </c>
      <c r="W12" s="2">
        <f t="shared" si="0"/>
        <v>51</v>
      </c>
      <c r="X12" s="2">
        <f t="shared" si="1"/>
        <v>63.749999999999993</v>
      </c>
      <c r="Y12" s="7" t="s">
        <v>29</v>
      </c>
    </row>
    <row r="13" spans="1:25" x14ac:dyDescent="0.35">
      <c r="A13" s="2">
        <v>12</v>
      </c>
      <c r="B13" s="3" t="s">
        <v>38</v>
      </c>
      <c r="C13" s="2">
        <v>3</v>
      </c>
      <c r="D13" s="2">
        <v>1</v>
      </c>
      <c r="E13" s="2">
        <v>3</v>
      </c>
      <c r="F13" s="2">
        <v>2</v>
      </c>
      <c r="G13" s="2">
        <v>1</v>
      </c>
      <c r="H13" s="2">
        <v>3</v>
      </c>
      <c r="I13" s="2">
        <v>1</v>
      </c>
      <c r="J13" s="2">
        <v>2</v>
      </c>
      <c r="K13" s="2">
        <v>4</v>
      </c>
      <c r="L13" s="2">
        <v>2</v>
      </c>
      <c r="M13" s="2">
        <v>1</v>
      </c>
      <c r="N13" s="2">
        <v>3</v>
      </c>
      <c r="O13" s="2">
        <v>1</v>
      </c>
      <c r="P13" s="2">
        <v>2</v>
      </c>
      <c r="Q13" s="2">
        <v>4</v>
      </c>
      <c r="R13" s="2">
        <v>3</v>
      </c>
      <c r="S13" s="2">
        <v>4</v>
      </c>
      <c r="T13" s="2">
        <v>3</v>
      </c>
      <c r="U13" s="2">
        <v>4</v>
      </c>
      <c r="V13" s="2">
        <v>1</v>
      </c>
      <c r="W13" s="2">
        <f t="shared" si="0"/>
        <v>48</v>
      </c>
      <c r="X13" s="2">
        <f t="shared" si="1"/>
        <v>60</v>
      </c>
      <c r="Y13" s="7" t="s">
        <v>29</v>
      </c>
    </row>
    <row r="14" spans="1:25" x14ac:dyDescent="0.35">
      <c r="A14" s="2">
        <v>13</v>
      </c>
      <c r="B14" s="3" t="s">
        <v>39</v>
      </c>
      <c r="C14" s="2">
        <v>3</v>
      </c>
      <c r="D14" s="2">
        <v>1</v>
      </c>
      <c r="E14" s="2">
        <v>2</v>
      </c>
      <c r="F14" s="2">
        <v>3</v>
      </c>
      <c r="G14" s="2">
        <v>1</v>
      </c>
      <c r="H14" s="2">
        <v>3</v>
      </c>
      <c r="I14" s="2">
        <v>4</v>
      </c>
      <c r="J14" s="2">
        <v>2</v>
      </c>
      <c r="K14" s="2">
        <v>3</v>
      </c>
      <c r="L14" s="2">
        <v>4</v>
      </c>
      <c r="M14" s="2">
        <v>3</v>
      </c>
      <c r="N14" s="2">
        <v>3</v>
      </c>
      <c r="O14" s="2">
        <v>4</v>
      </c>
      <c r="P14" s="2">
        <v>4</v>
      </c>
      <c r="Q14" s="2">
        <v>4</v>
      </c>
      <c r="R14" s="2">
        <v>4</v>
      </c>
      <c r="S14" s="2">
        <v>3</v>
      </c>
      <c r="T14" s="2">
        <v>3</v>
      </c>
      <c r="U14" s="2">
        <v>4</v>
      </c>
      <c r="V14" s="2">
        <v>3</v>
      </c>
      <c r="W14" s="2">
        <f t="shared" si="0"/>
        <v>61</v>
      </c>
      <c r="X14" s="2">
        <f t="shared" si="1"/>
        <v>76.25</v>
      </c>
      <c r="Y14" s="7" t="s">
        <v>26</v>
      </c>
    </row>
    <row r="15" spans="1:25" x14ac:dyDescent="0.35">
      <c r="A15" s="2">
        <v>14</v>
      </c>
      <c r="B15" s="3" t="s">
        <v>40</v>
      </c>
      <c r="C15" s="2">
        <v>4</v>
      </c>
      <c r="D15" s="2">
        <v>2</v>
      </c>
      <c r="E15" s="2">
        <v>1</v>
      </c>
      <c r="F15" s="2">
        <v>3</v>
      </c>
      <c r="G15" s="2">
        <v>1</v>
      </c>
      <c r="H15" s="2">
        <v>3</v>
      </c>
      <c r="I15" s="2">
        <v>4</v>
      </c>
      <c r="J15" s="2">
        <v>2</v>
      </c>
      <c r="K15" s="2">
        <v>3</v>
      </c>
      <c r="L15" s="2">
        <v>4</v>
      </c>
      <c r="M15" s="2">
        <v>3</v>
      </c>
      <c r="N15" s="2">
        <v>4</v>
      </c>
      <c r="O15" s="2">
        <v>3</v>
      </c>
      <c r="P15" s="2">
        <v>2</v>
      </c>
      <c r="Q15" s="2">
        <v>1</v>
      </c>
      <c r="R15" s="2">
        <v>2</v>
      </c>
      <c r="S15" s="2">
        <v>3</v>
      </c>
      <c r="T15" s="2">
        <v>1</v>
      </c>
      <c r="U15" s="2">
        <v>4</v>
      </c>
      <c r="V15" s="2">
        <v>3</v>
      </c>
      <c r="W15" s="2">
        <f t="shared" si="0"/>
        <v>53</v>
      </c>
      <c r="X15" s="2">
        <f t="shared" si="1"/>
        <v>66.25</v>
      </c>
      <c r="Y15" s="7" t="s">
        <v>29</v>
      </c>
    </row>
    <row r="16" spans="1:25" x14ac:dyDescent="0.35">
      <c r="A16" s="2">
        <v>15</v>
      </c>
      <c r="B16" s="3" t="s">
        <v>41</v>
      </c>
      <c r="C16" s="2">
        <v>3</v>
      </c>
      <c r="D16" s="2">
        <v>3</v>
      </c>
      <c r="E16" s="2">
        <v>3</v>
      </c>
      <c r="F16" s="2">
        <v>3</v>
      </c>
      <c r="G16" s="2">
        <v>2</v>
      </c>
      <c r="H16" s="2">
        <v>3</v>
      </c>
      <c r="I16" s="2">
        <v>1</v>
      </c>
      <c r="J16" s="2">
        <v>3</v>
      </c>
      <c r="K16" s="2">
        <v>3</v>
      </c>
      <c r="L16" s="2">
        <v>2</v>
      </c>
      <c r="M16" s="2">
        <v>2</v>
      </c>
      <c r="N16" s="2">
        <v>3</v>
      </c>
      <c r="O16" s="2">
        <v>3</v>
      </c>
      <c r="P16" s="2">
        <v>3</v>
      </c>
      <c r="Q16" s="2">
        <v>3</v>
      </c>
      <c r="R16" s="2">
        <v>3</v>
      </c>
      <c r="S16" s="2">
        <v>2</v>
      </c>
      <c r="T16" s="2">
        <v>4</v>
      </c>
      <c r="U16" s="2">
        <v>1</v>
      </c>
      <c r="V16" s="2">
        <v>3</v>
      </c>
      <c r="W16" s="2">
        <f t="shared" si="0"/>
        <v>53</v>
      </c>
      <c r="X16" s="2">
        <f t="shared" si="1"/>
        <v>66.25</v>
      </c>
      <c r="Y16" s="7" t="s">
        <v>29</v>
      </c>
    </row>
    <row r="17" spans="1:25" x14ac:dyDescent="0.35">
      <c r="A17" s="2">
        <v>16</v>
      </c>
      <c r="B17" s="3" t="s">
        <v>42</v>
      </c>
      <c r="C17" s="2">
        <v>3</v>
      </c>
      <c r="D17" s="2">
        <v>4</v>
      </c>
      <c r="E17" s="2">
        <v>3</v>
      </c>
      <c r="F17" s="2">
        <v>2</v>
      </c>
      <c r="G17" s="2">
        <v>2</v>
      </c>
      <c r="H17" s="2">
        <v>3</v>
      </c>
      <c r="I17" s="2">
        <v>2</v>
      </c>
      <c r="J17" s="2">
        <v>2</v>
      </c>
      <c r="K17" s="2">
        <v>3</v>
      </c>
      <c r="L17" s="2">
        <v>2</v>
      </c>
      <c r="M17" s="2">
        <v>2</v>
      </c>
      <c r="N17" s="2">
        <v>3</v>
      </c>
      <c r="O17" s="2">
        <v>2</v>
      </c>
      <c r="P17" s="2">
        <v>2</v>
      </c>
      <c r="Q17" s="2">
        <v>3</v>
      </c>
      <c r="R17" s="2">
        <v>3</v>
      </c>
      <c r="S17" s="2">
        <v>3</v>
      </c>
      <c r="T17" s="2">
        <v>3</v>
      </c>
      <c r="U17" s="2">
        <v>3</v>
      </c>
      <c r="V17" s="2">
        <v>2</v>
      </c>
      <c r="W17" s="2">
        <f t="shared" si="0"/>
        <v>52</v>
      </c>
      <c r="X17" s="2">
        <f t="shared" si="1"/>
        <v>65</v>
      </c>
      <c r="Y17" s="7" t="s">
        <v>29</v>
      </c>
    </row>
    <row r="18" spans="1:25" x14ac:dyDescent="0.35">
      <c r="A18" s="2">
        <v>17</v>
      </c>
      <c r="B18" s="3" t="s">
        <v>43</v>
      </c>
      <c r="C18" s="2">
        <v>3</v>
      </c>
      <c r="D18" s="2">
        <v>2</v>
      </c>
      <c r="E18" s="2">
        <v>4</v>
      </c>
      <c r="F18" s="2">
        <v>3</v>
      </c>
      <c r="G18" s="2">
        <v>4</v>
      </c>
      <c r="H18" s="2">
        <v>3</v>
      </c>
      <c r="I18" s="2">
        <v>1</v>
      </c>
      <c r="J18" s="2">
        <v>3</v>
      </c>
      <c r="K18" s="2">
        <v>1</v>
      </c>
      <c r="L18" s="2">
        <v>2</v>
      </c>
      <c r="M18" s="2">
        <v>1</v>
      </c>
      <c r="N18" s="2">
        <v>2</v>
      </c>
      <c r="O18" s="2">
        <v>4</v>
      </c>
      <c r="P18" s="2">
        <v>2</v>
      </c>
      <c r="Q18" s="2">
        <v>4</v>
      </c>
      <c r="R18" s="2">
        <v>4</v>
      </c>
      <c r="S18" s="2">
        <v>1</v>
      </c>
      <c r="T18" s="2">
        <v>2</v>
      </c>
      <c r="U18" s="2">
        <v>3</v>
      </c>
      <c r="V18" s="2">
        <v>4</v>
      </c>
      <c r="W18" s="2">
        <f t="shared" si="0"/>
        <v>53</v>
      </c>
      <c r="X18" s="2">
        <f t="shared" si="1"/>
        <v>66.25</v>
      </c>
      <c r="Y18" s="7" t="s">
        <v>29</v>
      </c>
    </row>
    <row r="19" spans="1:25" x14ac:dyDescent="0.35">
      <c r="A19" s="2">
        <v>18</v>
      </c>
      <c r="B19" s="3" t="s">
        <v>44</v>
      </c>
      <c r="C19" s="2">
        <v>4</v>
      </c>
      <c r="D19" s="2">
        <v>4</v>
      </c>
      <c r="E19" s="2">
        <v>4</v>
      </c>
      <c r="F19" s="2">
        <v>4</v>
      </c>
      <c r="G19" s="2">
        <v>3</v>
      </c>
      <c r="H19" s="2">
        <v>4</v>
      </c>
      <c r="I19" s="2">
        <v>4</v>
      </c>
      <c r="J19" s="2">
        <v>1</v>
      </c>
      <c r="K19" s="2">
        <v>3</v>
      </c>
      <c r="L19" s="2">
        <v>4</v>
      </c>
      <c r="M19" s="2">
        <v>3</v>
      </c>
      <c r="N19" s="2">
        <v>4</v>
      </c>
      <c r="O19" s="2">
        <v>1</v>
      </c>
      <c r="P19" s="2">
        <v>4</v>
      </c>
      <c r="Q19" s="2">
        <v>4</v>
      </c>
      <c r="R19" s="2">
        <v>4</v>
      </c>
      <c r="S19" s="2">
        <v>1</v>
      </c>
      <c r="T19" s="2">
        <v>4</v>
      </c>
      <c r="U19" s="2">
        <v>1</v>
      </c>
      <c r="V19" s="2">
        <v>1</v>
      </c>
      <c r="W19" s="2">
        <f t="shared" si="0"/>
        <v>62</v>
      </c>
      <c r="X19" s="2">
        <f t="shared" si="1"/>
        <v>77.5</v>
      </c>
      <c r="Y19" s="7" t="s">
        <v>26</v>
      </c>
    </row>
    <row r="20" spans="1:25" x14ac:dyDescent="0.35">
      <c r="A20" s="2">
        <v>19</v>
      </c>
      <c r="B20" s="3" t="s">
        <v>45</v>
      </c>
      <c r="C20" s="2">
        <v>3</v>
      </c>
      <c r="D20" s="2">
        <v>3</v>
      </c>
      <c r="E20" s="2">
        <v>3</v>
      </c>
      <c r="F20" s="2">
        <v>3</v>
      </c>
      <c r="G20" s="2">
        <v>4</v>
      </c>
      <c r="H20" s="2">
        <v>4</v>
      </c>
      <c r="I20" s="2">
        <v>4</v>
      </c>
      <c r="J20" s="2">
        <v>2</v>
      </c>
      <c r="K20" s="2">
        <v>4</v>
      </c>
      <c r="L20" s="2">
        <v>4</v>
      </c>
      <c r="M20" s="2">
        <v>4</v>
      </c>
      <c r="N20" s="2">
        <v>4</v>
      </c>
      <c r="O20" s="2">
        <v>2</v>
      </c>
      <c r="P20" s="2">
        <v>4</v>
      </c>
      <c r="Q20" s="2">
        <v>3</v>
      </c>
      <c r="R20" s="2">
        <v>1</v>
      </c>
      <c r="S20" s="2">
        <v>3</v>
      </c>
      <c r="T20" s="2">
        <v>1</v>
      </c>
      <c r="U20" s="2">
        <v>2</v>
      </c>
      <c r="V20" s="2">
        <v>2</v>
      </c>
      <c r="W20" s="2">
        <f t="shared" si="0"/>
        <v>60</v>
      </c>
      <c r="X20" s="2">
        <f t="shared" si="1"/>
        <v>75</v>
      </c>
      <c r="Y20" s="7" t="s">
        <v>29</v>
      </c>
    </row>
    <row r="21" spans="1:25" x14ac:dyDescent="0.35">
      <c r="A21" s="2">
        <v>20</v>
      </c>
      <c r="B21" s="3" t="s">
        <v>46</v>
      </c>
      <c r="C21" s="2">
        <v>3</v>
      </c>
      <c r="D21" s="2">
        <v>3</v>
      </c>
      <c r="E21" s="2">
        <v>3</v>
      </c>
      <c r="F21" s="2">
        <v>3</v>
      </c>
      <c r="G21" s="2">
        <v>4</v>
      </c>
      <c r="H21" s="2">
        <v>3</v>
      </c>
      <c r="I21" s="2">
        <v>3</v>
      </c>
      <c r="J21" s="2">
        <v>2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4</v>
      </c>
      <c r="T21" s="2">
        <v>2</v>
      </c>
      <c r="U21" s="2">
        <v>1</v>
      </c>
      <c r="V21" s="2">
        <v>4</v>
      </c>
      <c r="W21" s="2">
        <f t="shared" si="0"/>
        <v>59</v>
      </c>
      <c r="X21" s="2">
        <f t="shared" si="1"/>
        <v>73.75</v>
      </c>
      <c r="Y21" s="7" t="s">
        <v>29</v>
      </c>
    </row>
    <row r="22" spans="1:25" x14ac:dyDescent="0.35">
      <c r="A22" s="2">
        <v>21</v>
      </c>
      <c r="B22" s="3" t="s">
        <v>47</v>
      </c>
      <c r="C22" s="2">
        <v>3</v>
      </c>
      <c r="D22" s="2">
        <v>3</v>
      </c>
      <c r="E22" s="2">
        <v>3</v>
      </c>
      <c r="F22" s="2">
        <v>2</v>
      </c>
      <c r="G22" s="2">
        <v>2</v>
      </c>
      <c r="H22" s="2">
        <v>4</v>
      </c>
      <c r="I22" s="2">
        <v>3</v>
      </c>
      <c r="J22" s="2">
        <v>2</v>
      </c>
      <c r="K22" s="2">
        <v>1</v>
      </c>
      <c r="L22" s="2">
        <v>4</v>
      </c>
      <c r="M22" s="2">
        <v>2</v>
      </c>
      <c r="N22" s="2">
        <v>3</v>
      </c>
      <c r="O22" s="2">
        <v>3</v>
      </c>
      <c r="P22" s="2">
        <v>2</v>
      </c>
      <c r="Q22" s="2">
        <v>2</v>
      </c>
      <c r="R22" s="2">
        <v>3</v>
      </c>
      <c r="S22" s="2">
        <v>3</v>
      </c>
      <c r="T22" s="2">
        <v>2</v>
      </c>
      <c r="U22" s="2">
        <v>4</v>
      </c>
      <c r="V22" s="2">
        <v>2</v>
      </c>
      <c r="W22" s="2">
        <f t="shared" si="0"/>
        <v>53</v>
      </c>
      <c r="X22" s="2">
        <f t="shared" si="1"/>
        <v>66.25</v>
      </c>
      <c r="Y22" s="7" t="s">
        <v>29</v>
      </c>
    </row>
    <row r="23" spans="1:25" x14ac:dyDescent="0.35">
      <c r="A23" s="2">
        <v>22</v>
      </c>
      <c r="B23" s="3" t="s">
        <v>48</v>
      </c>
      <c r="C23" s="2">
        <v>3</v>
      </c>
      <c r="D23" s="2">
        <v>2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2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3</v>
      </c>
      <c r="W23" s="2">
        <f t="shared" si="0"/>
        <v>58</v>
      </c>
      <c r="X23" s="2">
        <f t="shared" si="1"/>
        <v>72.5</v>
      </c>
      <c r="Y23" s="7" t="s">
        <v>29</v>
      </c>
    </row>
    <row r="24" spans="1:25" x14ac:dyDescent="0.35">
      <c r="A24" s="2">
        <v>23</v>
      </c>
      <c r="B24" s="3" t="s">
        <v>49</v>
      </c>
      <c r="C24" s="2">
        <v>3</v>
      </c>
      <c r="D24" s="2">
        <v>3</v>
      </c>
      <c r="E24" s="2">
        <v>4</v>
      </c>
      <c r="F24" s="2">
        <v>3</v>
      </c>
      <c r="G24" s="2">
        <v>2</v>
      </c>
      <c r="H24" s="2">
        <v>2</v>
      </c>
      <c r="I24" s="2">
        <v>2</v>
      </c>
      <c r="J24" s="2">
        <v>2</v>
      </c>
      <c r="K24" s="2">
        <v>3</v>
      </c>
      <c r="L24" s="2">
        <v>2</v>
      </c>
      <c r="M24" s="2">
        <v>2</v>
      </c>
      <c r="N24" s="2">
        <v>4</v>
      </c>
      <c r="O24" s="2">
        <v>1</v>
      </c>
      <c r="P24" s="2">
        <v>2</v>
      </c>
      <c r="Q24" s="2">
        <v>2</v>
      </c>
      <c r="R24" s="2">
        <v>3</v>
      </c>
      <c r="S24" s="2">
        <v>3</v>
      </c>
      <c r="T24" s="2">
        <v>3</v>
      </c>
      <c r="U24" s="2">
        <v>3</v>
      </c>
      <c r="V24" s="2">
        <v>2</v>
      </c>
      <c r="W24" s="2">
        <f t="shared" si="0"/>
        <v>51</v>
      </c>
      <c r="X24" s="2">
        <f t="shared" si="1"/>
        <v>63.749999999999993</v>
      </c>
      <c r="Y24" s="7" t="s">
        <v>29</v>
      </c>
    </row>
    <row r="25" spans="1:25" x14ac:dyDescent="0.35">
      <c r="A25" s="2">
        <v>24</v>
      </c>
      <c r="B25" s="3" t="s">
        <v>50</v>
      </c>
      <c r="C25" s="2">
        <v>3</v>
      </c>
      <c r="D25" s="2">
        <v>2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2</v>
      </c>
      <c r="M25" s="2">
        <v>3</v>
      </c>
      <c r="N25" s="2">
        <v>3</v>
      </c>
      <c r="O25" s="2">
        <v>3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f t="shared" si="0"/>
        <v>58</v>
      </c>
      <c r="X25" s="2">
        <f t="shared" si="1"/>
        <v>72.5</v>
      </c>
      <c r="Y25" s="7" t="s">
        <v>29</v>
      </c>
    </row>
    <row r="26" spans="1:25" x14ac:dyDescent="0.35">
      <c r="A26" s="2">
        <v>25</v>
      </c>
      <c r="B26" s="3" t="s">
        <v>51</v>
      </c>
      <c r="C26" s="2">
        <v>3</v>
      </c>
      <c r="D26" s="2">
        <v>4</v>
      </c>
      <c r="E26" s="2">
        <v>3</v>
      </c>
      <c r="F26" s="2">
        <v>2</v>
      </c>
      <c r="G26" s="2">
        <v>2</v>
      </c>
      <c r="H26" s="2">
        <v>3</v>
      </c>
      <c r="I26" s="2">
        <v>2</v>
      </c>
      <c r="J26" s="2">
        <v>2</v>
      </c>
      <c r="K26" s="2">
        <v>3</v>
      </c>
      <c r="L26" s="2">
        <v>2</v>
      </c>
      <c r="M26" s="2">
        <v>2</v>
      </c>
      <c r="N26" s="2">
        <v>3</v>
      </c>
      <c r="O26" s="2">
        <v>2</v>
      </c>
      <c r="P26" s="2">
        <v>2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2</v>
      </c>
      <c r="W26" s="2">
        <f t="shared" si="0"/>
        <v>52</v>
      </c>
      <c r="X26" s="2">
        <f t="shared" si="1"/>
        <v>65</v>
      </c>
      <c r="Y26" s="7" t="s">
        <v>29</v>
      </c>
    </row>
    <row r="27" spans="1:25" x14ac:dyDescent="0.35">
      <c r="A27" s="2">
        <v>26</v>
      </c>
      <c r="B27" s="3" t="s">
        <v>52</v>
      </c>
      <c r="C27" s="2">
        <v>3</v>
      </c>
      <c r="D27" s="2">
        <v>3</v>
      </c>
      <c r="E27" s="2">
        <v>4</v>
      </c>
      <c r="F27" s="2">
        <v>4</v>
      </c>
      <c r="G27" s="2">
        <v>2</v>
      </c>
      <c r="H27" s="2">
        <v>4</v>
      </c>
      <c r="I27" s="2">
        <v>2</v>
      </c>
      <c r="J27" s="2">
        <v>4</v>
      </c>
      <c r="K27" s="2">
        <v>3</v>
      </c>
      <c r="L27" s="2">
        <v>3</v>
      </c>
      <c r="M27" s="2">
        <v>1</v>
      </c>
      <c r="N27" s="2">
        <v>1</v>
      </c>
      <c r="O27" s="2">
        <v>2</v>
      </c>
      <c r="P27" s="2">
        <v>4</v>
      </c>
      <c r="Q27" s="2">
        <v>2</v>
      </c>
      <c r="R27" s="2">
        <v>4</v>
      </c>
      <c r="S27" s="2">
        <v>2</v>
      </c>
      <c r="T27" s="2">
        <v>3</v>
      </c>
      <c r="U27" s="2">
        <v>4</v>
      </c>
      <c r="V27" s="2">
        <v>4</v>
      </c>
      <c r="W27" s="2">
        <f t="shared" si="0"/>
        <v>59</v>
      </c>
      <c r="X27" s="2">
        <f t="shared" si="1"/>
        <v>73.75</v>
      </c>
      <c r="Y27" s="7" t="s">
        <v>29</v>
      </c>
    </row>
    <row r="28" spans="1:25" x14ac:dyDescent="0.35">
      <c r="A28" s="2">
        <v>27</v>
      </c>
      <c r="B28" s="3" t="s">
        <v>53</v>
      </c>
      <c r="C28" s="2">
        <v>3</v>
      </c>
      <c r="D28" s="2">
        <v>3</v>
      </c>
      <c r="E28" s="2">
        <v>4</v>
      </c>
      <c r="F28" s="2">
        <v>3</v>
      </c>
      <c r="G28" s="2">
        <v>4</v>
      </c>
      <c r="H28" s="2">
        <v>3</v>
      </c>
      <c r="I28" s="2">
        <v>1</v>
      </c>
      <c r="J28" s="2">
        <v>3</v>
      </c>
      <c r="K28" s="2">
        <v>3</v>
      </c>
      <c r="L28" s="2">
        <v>2</v>
      </c>
      <c r="M28" s="2">
        <v>1</v>
      </c>
      <c r="N28" s="2">
        <v>2</v>
      </c>
      <c r="O28" s="2">
        <v>1</v>
      </c>
      <c r="P28" s="2">
        <v>4</v>
      </c>
      <c r="Q28" s="2">
        <v>4</v>
      </c>
      <c r="R28" s="2">
        <v>4</v>
      </c>
      <c r="S28" s="2">
        <v>3</v>
      </c>
      <c r="T28" s="2">
        <v>1</v>
      </c>
      <c r="U28" s="2">
        <v>2</v>
      </c>
      <c r="V28" s="2">
        <v>2</v>
      </c>
      <c r="W28" s="2">
        <f t="shared" si="0"/>
        <v>53</v>
      </c>
      <c r="X28" s="2">
        <f t="shared" si="1"/>
        <v>66.25</v>
      </c>
      <c r="Y28" s="7" t="s">
        <v>29</v>
      </c>
    </row>
    <row r="29" spans="1:25" x14ac:dyDescent="0.35">
      <c r="A29" s="2">
        <v>28</v>
      </c>
      <c r="B29" s="3" t="s">
        <v>54</v>
      </c>
      <c r="C29" s="2">
        <v>3</v>
      </c>
      <c r="D29" s="2">
        <v>3</v>
      </c>
      <c r="E29" s="2">
        <v>2</v>
      </c>
      <c r="F29" s="2">
        <v>1</v>
      </c>
      <c r="G29" s="2">
        <v>3</v>
      </c>
      <c r="H29" s="2">
        <v>1</v>
      </c>
      <c r="I29" s="2">
        <v>4</v>
      </c>
      <c r="J29" s="2">
        <v>2</v>
      </c>
      <c r="K29" s="2">
        <v>1</v>
      </c>
      <c r="L29" s="2">
        <v>2</v>
      </c>
      <c r="M29" s="2">
        <v>3</v>
      </c>
      <c r="N29" s="2">
        <v>1</v>
      </c>
      <c r="O29" s="2">
        <v>3</v>
      </c>
      <c r="P29" s="2">
        <v>4</v>
      </c>
      <c r="Q29" s="2">
        <v>4</v>
      </c>
      <c r="R29" s="2">
        <v>2</v>
      </c>
      <c r="S29" s="2">
        <v>2</v>
      </c>
      <c r="T29" s="2">
        <v>4</v>
      </c>
      <c r="U29" s="2">
        <v>1</v>
      </c>
      <c r="V29" s="2">
        <v>2</v>
      </c>
      <c r="W29" s="2">
        <f t="shared" si="0"/>
        <v>48</v>
      </c>
      <c r="X29" s="2">
        <f t="shared" si="1"/>
        <v>60</v>
      </c>
      <c r="Y29" s="7" t="s">
        <v>29</v>
      </c>
    </row>
    <row r="30" spans="1:25" x14ac:dyDescent="0.35">
      <c r="A30" s="2">
        <v>29</v>
      </c>
      <c r="B30" s="3" t="s">
        <v>55</v>
      </c>
      <c r="C30" s="2">
        <v>3</v>
      </c>
      <c r="D30" s="2">
        <v>4</v>
      </c>
      <c r="E30" s="2">
        <v>2</v>
      </c>
      <c r="F30" s="2">
        <v>2</v>
      </c>
      <c r="G30" s="2">
        <v>2</v>
      </c>
      <c r="H30" s="2">
        <v>3</v>
      </c>
      <c r="I30" s="2">
        <v>2</v>
      </c>
      <c r="J30" s="2">
        <v>2</v>
      </c>
      <c r="K30" s="2">
        <v>3</v>
      </c>
      <c r="L30" s="2">
        <v>2</v>
      </c>
      <c r="M30" s="2">
        <v>2</v>
      </c>
      <c r="N30" s="2">
        <v>3</v>
      </c>
      <c r="O30" s="2">
        <v>2</v>
      </c>
      <c r="P30" s="2">
        <v>2</v>
      </c>
      <c r="Q30" s="2">
        <v>3</v>
      </c>
      <c r="R30" s="2">
        <v>3</v>
      </c>
      <c r="S30" s="2">
        <v>3</v>
      </c>
      <c r="T30" s="2">
        <v>3</v>
      </c>
      <c r="U30" s="2">
        <v>3</v>
      </c>
      <c r="V30" s="2">
        <v>2</v>
      </c>
      <c r="W30" s="2">
        <f t="shared" si="0"/>
        <v>51</v>
      </c>
      <c r="X30" s="2">
        <f t="shared" si="1"/>
        <v>63.749999999999993</v>
      </c>
      <c r="Y30" s="7" t="s">
        <v>29</v>
      </c>
    </row>
    <row r="31" spans="1:25" x14ac:dyDescent="0.35">
      <c r="A31" s="2">
        <v>30</v>
      </c>
      <c r="B31" s="3" t="s">
        <v>56</v>
      </c>
      <c r="C31" s="2">
        <v>3</v>
      </c>
      <c r="D31" s="2">
        <v>2</v>
      </c>
      <c r="E31" s="2">
        <v>3</v>
      </c>
      <c r="F31" s="2">
        <v>2</v>
      </c>
      <c r="G31" s="2">
        <v>2</v>
      </c>
      <c r="H31" s="2">
        <v>3</v>
      </c>
      <c r="I31" s="2">
        <v>2</v>
      </c>
      <c r="J31" s="2">
        <v>2</v>
      </c>
      <c r="K31" s="2">
        <v>3</v>
      </c>
      <c r="L31" s="2">
        <v>2</v>
      </c>
      <c r="M31" s="2">
        <v>2</v>
      </c>
      <c r="N31" s="2">
        <v>3</v>
      </c>
      <c r="O31" s="2">
        <v>2</v>
      </c>
      <c r="P31" s="2">
        <v>2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2</v>
      </c>
      <c r="W31" s="2">
        <f t="shared" si="0"/>
        <v>50</v>
      </c>
      <c r="X31" s="2">
        <f t="shared" si="1"/>
        <v>62.5</v>
      </c>
      <c r="Y31" s="7" t="s">
        <v>29</v>
      </c>
    </row>
    <row r="32" spans="1:25" x14ac:dyDescent="0.35">
      <c r="A32" s="2">
        <v>31</v>
      </c>
      <c r="B32" s="3" t="s">
        <v>57</v>
      </c>
      <c r="C32" s="2">
        <v>3</v>
      </c>
      <c r="D32" s="2">
        <v>4</v>
      </c>
      <c r="E32" s="2">
        <v>3</v>
      </c>
      <c r="F32" s="2">
        <v>2</v>
      </c>
      <c r="G32" s="2">
        <v>2</v>
      </c>
      <c r="H32" s="2">
        <v>3</v>
      </c>
      <c r="I32" s="2">
        <v>2</v>
      </c>
      <c r="J32" s="2">
        <v>2</v>
      </c>
      <c r="K32" s="2">
        <v>3</v>
      </c>
      <c r="L32" s="2">
        <v>2</v>
      </c>
      <c r="M32" s="2">
        <v>2</v>
      </c>
      <c r="N32" s="2">
        <v>3</v>
      </c>
      <c r="O32" s="2">
        <v>2</v>
      </c>
      <c r="P32" s="2">
        <v>2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2</v>
      </c>
      <c r="W32" s="2">
        <f t="shared" si="0"/>
        <v>52</v>
      </c>
      <c r="X32" s="2">
        <f t="shared" si="1"/>
        <v>65</v>
      </c>
      <c r="Y32" s="7" t="s">
        <v>29</v>
      </c>
    </row>
    <row r="33" spans="1:25" x14ac:dyDescent="0.35">
      <c r="A33" s="2">
        <v>32</v>
      </c>
      <c r="B33" s="3" t="s">
        <v>58</v>
      </c>
      <c r="C33" s="2">
        <v>3</v>
      </c>
      <c r="D33" s="2">
        <v>2</v>
      </c>
      <c r="E33" s="2">
        <v>3</v>
      </c>
      <c r="F33" s="2">
        <v>3</v>
      </c>
      <c r="G33" s="2">
        <v>2</v>
      </c>
      <c r="H33" s="2">
        <v>1</v>
      </c>
      <c r="I33" s="2">
        <v>4</v>
      </c>
      <c r="J33" s="2">
        <v>4</v>
      </c>
      <c r="K33" s="2">
        <v>3</v>
      </c>
      <c r="L33" s="2">
        <v>3</v>
      </c>
      <c r="M33" s="2">
        <v>4</v>
      </c>
      <c r="N33" s="2">
        <v>3</v>
      </c>
      <c r="O33" s="2">
        <v>4</v>
      </c>
      <c r="P33" s="2">
        <v>3</v>
      </c>
      <c r="Q33" s="2">
        <v>4</v>
      </c>
      <c r="R33" s="2">
        <v>2</v>
      </c>
      <c r="S33" s="2">
        <v>2</v>
      </c>
      <c r="T33" s="2">
        <v>2</v>
      </c>
      <c r="U33" s="2">
        <v>4</v>
      </c>
      <c r="V33" s="2">
        <v>4</v>
      </c>
      <c r="W33" s="2">
        <f t="shared" si="0"/>
        <v>60</v>
      </c>
      <c r="X33" s="2">
        <f t="shared" si="1"/>
        <v>75</v>
      </c>
      <c r="Y33" s="7" t="s">
        <v>29</v>
      </c>
    </row>
    <row r="34" spans="1:25" x14ac:dyDescent="0.35">
      <c r="A34" s="2">
        <v>33</v>
      </c>
      <c r="B34" s="3" t="s">
        <v>59</v>
      </c>
      <c r="C34" s="2">
        <v>3</v>
      </c>
      <c r="D34" s="2">
        <v>3</v>
      </c>
      <c r="E34" s="2">
        <v>3</v>
      </c>
      <c r="F34" s="2">
        <v>2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2</v>
      </c>
      <c r="W34" s="2">
        <f t="shared" si="0"/>
        <v>58</v>
      </c>
      <c r="X34" s="2">
        <f t="shared" si="1"/>
        <v>72.5</v>
      </c>
      <c r="Y34" s="7" t="s">
        <v>29</v>
      </c>
    </row>
    <row r="35" spans="1:25" x14ac:dyDescent="0.35">
      <c r="A35" s="2">
        <v>34</v>
      </c>
      <c r="B35" s="3" t="s">
        <v>60</v>
      </c>
      <c r="C35" s="2">
        <v>3</v>
      </c>
      <c r="D35" s="2">
        <v>3</v>
      </c>
      <c r="E35" s="2">
        <v>1</v>
      </c>
      <c r="F35" s="2">
        <v>4</v>
      </c>
      <c r="G35" s="2">
        <v>4</v>
      </c>
      <c r="H35" s="2">
        <v>1</v>
      </c>
      <c r="I35" s="2">
        <v>3</v>
      </c>
      <c r="J35" s="2">
        <v>3</v>
      </c>
      <c r="K35" s="2">
        <v>1</v>
      </c>
      <c r="L35" s="2">
        <v>4</v>
      </c>
      <c r="M35" s="2">
        <v>4</v>
      </c>
      <c r="N35" s="2">
        <v>1</v>
      </c>
      <c r="O35" s="2">
        <v>3</v>
      </c>
      <c r="P35" s="2">
        <v>3</v>
      </c>
      <c r="Q35" s="2">
        <v>2</v>
      </c>
      <c r="R35" s="2">
        <v>1</v>
      </c>
      <c r="S35" s="2">
        <v>2</v>
      </c>
      <c r="T35" s="2">
        <v>2</v>
      </c>
      <c r="U35" s="2">
        <v>2</v>
      </c>
      <c r="V35" s="2">
        <v>4</v>
      </c>
      <c r="W35" s="2">
        <f t="shared" si="0"/>
        <v>51</v>
      </c>
      <c r="X35" s="2">
        <f t="shared" si="1"/>
        <v>63.749999999999993</v>
      </c>
      <c r="Y35" s="7" t="s">
        <v>29</v>
      </c>
    </row>
    <row r="36" spans="1:25" x14ac:dyDescent="0.35">
      <c r="A36" s="2">
        <v>35</v>
      </c>
      <c r="B36" s="3" t="s">
        <v>61</v>
      </c>
      <c r="C36" s="2">
        <v>3</v>
      </c>
      <c r="D36" s="2">
        <v>2</v>
      </c>
      <c r="E36" s="2">
        <v>3</v>
      </c>
      <c r="F36" s="2">
        <v>3</v>
      </c>
      <c r="G36" s="2">
        <v>2</v>
      </c>
      <c r="H36" s="2">
        <v>3</v>
      </c>
      <c r="I36" s="2">
        <v>3</v>
      </c>
      <c r="J36" s="2">
        <v>2</v>
      </c>
      <c r="K36" s="2">
        <v>3</v>
      </c>
      <c r="L36" s="2">
        <v>2</v>
      </c>
      <c r="M36" s="2">
        <v>2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3</v>
      </c>
      <c r="W36" s="2">
        <f t="shared" si="0"/>
        <v>55</v>
      </c>
      <c r="X36" s="2">
        <f t="shared" si="1"/>
        <v>68.75</v>
      </c>
      <c r="Y36" s="7" t="s">
        <v>29</v>
      </c>
    </row>
    <row r="37" spans="1:25" x14ac:dyDescent="0.35">
      <c r="A37" s="2">
        <v>36</v>
      </c>
      <c r="B37" s="3" t="s">
        <v>62</v>
      </c>
      <c r="C37" s="2">
        <v>3</v>
      </c>
      <c r="D37" s="2">
        <v>2</v>
      </c>
      <c r="E37" s="2">
        <v>3</v>
      </c>
      <c r="F37" s="2">
        <v>3</v>
      </c>
      <c r="G37" s="2">
        <v>2</v>
      </c>
      <c r="H37" s="2">
        <v>4</v>
      </c>
      <c r="I37" s="2">
        <v>3</v>
      </c>
      <c r="J37" s="2">
        <v>3</v>
      </c>
      <c r="K37" s="2">
        <v>3</v>
      </c>
      <c r="L37" s="2">
        <v>4</v>
      </c>
      <c r="M37" s="2">
        <v>4</v>
      </c>
      <c r="N37" s="2">
        <v>3</v>
      </c>
      <c r="O37" s="2">
        <v>1</v>
      </c>
      <c r="P37" s="2">
        <v>2</v>
      </c>
      <c r="Q37" s="2">
        <v>2</v>
      </c>
      <c r="R37" s="2">
        <v>3</v>
      </c>
      <c r="S37" s="2">
        <v>4</v>
      </c>
      <c r="T37" s="2">
        <v>4</v>
      </c>
      <c r="U37" s="2">
        <v>3</v>
      </c>
      <c r="V37" s="2">
        <v>3</v>
      </c>
      <c r="W37" s="2">
        <f t="shared" si="0"/>
        <v>59</v>
      </c>
      <c r="X37" s="2">
        <f t="shared" si="1"/>
        <v>73.75</v>
      </c>
      <c r="Y37" s="7" t="s">
        <v>29</v>
      </c>
    </row>
    <row r="38" spans="1:25" x14ac:dyDescent="0.35">
      <c r="A38" s="2">
        <v>37</v>
      </c>
      <c r="B38" s="3" t="s">
        <v>63</v>
      </c>
      <c r="C38" s="2">
        <v>3</v>
      </c>
      <c r="D38" s="2">
        <v>3</v>
      </c>
      <c r="E38" s="2">
        <v>4</v>
      </c>
      <c r="F38" s="2">
        <v>3</v>
      </c>
      <c r="G38" s="2">
        <v>4</v>
      </c>
      <c r="H38" s="2">
        <v>3</v>
      </c>
      <c r="I38" s="2">
        <v>4</v>
      </c>
      <c r="J38" s="2">
        <v>4</v>
      </c>
      <c r="K38" s="2">
        <v>3</v>
      </c>
      <c r="L38" s="2">
        <v>2</v>
      </c>
      <c r="M38" s="2">
        <v>4</v>
      </c>
      <c r="N38" s="2">
        <v>2</v>
      </c>
      <c r="O38" s="2">
        <v>4</v>
      </c>
      <c r="P38" s="2">
        <v>3</v>
      </c>
      <c r="Q38" s="2">
        <v>2</v>
      </c>
      <c r="R38" s="2">
        <v>3</v>
      </c>
      <c r="S38" s="2">
        <v>2</v>
      </c>
      <c r="T38" s="2">
        <v>1</v>
      </c>
      <c r="U38" s="2">
        <v>1</v>
      </c>
      <c r="V38" s="2">
        <v>2</v>
      </c>
      <c r="W38" s="2">
        <f t="shared" si="0"/>
        <v>57</v>
      </c>
      <c r="X38" s="2">
        <f t="shared" si="1"/>
        <v>71.25</v>
      </c>
      <c r="Y38" s="7" t="s">
        <v>29</v>
      </c>
    </row>
    <row r="39" spans="1:25" x14ac:dyDescent="0.35">
      <c r="A39" s="2">
        <v>38</v>
      </c>
      <c r="B39" s="3" t="s">
        <v>64</v>
      </c>
      <c r="C39" s="2">
        <v>1</v>
      </c>
      <c r="D39" s="2">
        <v>1</v>
      </c>
      <c r="E39" s="2">
        <v>3</v>
      </c>
      <c r="F39" s="2">
        <v>2</v>
      </c>
      <c r="G39" s="2">
        <v>3</v>
      </c>
      <c r="H39" s="2">
        <v>1</v>
      </c>
      <c r="I39" s="2">
        <v>2</v>
      </c>
      <c r="J39" s="2">
        <v>4</v>
      </c>
      <c r="K39" s="2">
        <v>4</v>
      </c>
      <c r="L39" s="2">
        <v>3</v>
      </c>
      <c r="M39" s="2">
        <v>4</v>
      </c>
      <c r="N39" s="2">
        <v>3</v>
      </c>
      <c r="O39" s="2">
        <v>3</v>
      </c>
      <c r="P39" s="2">
        <v>4</v>
      </c>
      <c r="Q39" s="2">
        <v>2</v>
      </c>
      <c r="R39" s="2">
        <v>4</v>
      </c>
      <c r="S39" s="2">
        <v>4</v>
      </c>
      <c r="T39" s="2">
        <v>4</v>
      </c>
      <c r="U39" s="2">
        <v>2</v>
      </c>
      <c r="V39" s="2">
        <v>3</v>
      </c>
      <c r="W39" s="2">
        <f t="shared" si="0"/>
        <v>57</v>
      </c>
      <c r="X39" s="2">
        <f t="shared" si="1"/>
        <v>71.25</v>
      </c>
      <c r="Y39" s="7" t="s">
        <v>29</v>
      </c>
    </row>
    <row r="40" spans="1:25" x14ac:dyDescent="0.35">
      <c r="A40" s="2">
        <v>39</v>
      </c>
      <c r="B40" s="3" t="s">
        <v>65</v>
      </c>
      <c r="C40" s="2">
        <v>3</v>
      </c>
      <c r="D40" s="2">
        <v>3</v>
      </c>
      <c r="E40" s="2">
        <v>3</v>
      </c>
      <c r="F40" s="2">
        <v>3</v>
      </c>
      <c r="G40" s="2">
        <v>4</v>
      </c>
      <c r="H40" s="2">
        <v>3</v>
      </c>
      <c r="I40" s="2">
        <v>3</v>
      </c>
      <c r="J40" s="2">
        <v>2</v>
      </c>
      <c r="K40" s="2">
        <v>3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3</v>
      </c>
      <c r="R40" s="2">
        <v>2</v>
      </c>
      <c r="S40" s="2">
        <v>3</v>
      </c>
      <c r="T40" s="2">
        <v>1</v>
      </c>
      <c r="U40" s="2">
        <v>2</v>
      </c>
      <c r="V40" s="2">
        <v>3</v>
      </c>
      <c r="W40" s="2">
        <f t="shared" si="0"/>
        <v>56</v>
      </c>
      <c r="X40" s="2">
        <f t="shared" si="1"/>
        <v>70</v>
      </c>
      <c r="Y40" s="7" t="s">
        <v>29</v>
      </c>
    </row>
    <row r="41" spans="1:25" x14ac:dyDescent="0.35">
      <c r="A41" s="2">
        <v>40</v>
      </c>
      <c r="B41" s="3" t="s">
        <v>66</v>
      </c>
      <c r="C41" s="2">
        <v>3</v>
      </c>
      <c r="D41" s="2">
        <v>1</v>
      </c>
      <c r="E41" s="2">
        <v>3</v>
      </c>
      <c r="F41" s="2">
        <v>2</v>
      </c>
      <c r="G41" s="2">
        <v>1</v>
      </c>
      <c r="H41" s="2">
        <v>3</v>
      </c>
      <c r="I41" s="2">
        <v>1</v>
      </c>
      <c r="J41" s="2">
        <v>4</v>
      </c>
      <c r="K41" s="2">
        <v>2</v>
      </c>
      <c r="L41" s="2">
        <v>1</v>
      </c>
      <c r="M41" s="2">
        <v>4</v>
      </c>
      <c r="N41" s="2">
        <v>2</v>
      </c>
      <c r="O41" s="2">
        <v>1</v>
      </c>
      <c r="P41" s="2">
        <v>4</v>
      </c>
      <c r="Q41" s="2">
        <v>4</v>
      </c>
      <c r="R41" s="2">
        <v>4</v>
      </c>
      <c r="S41" s="2">
        <v>1</v>
      </c>
      <c r="T41" s="2">
        <v>4</v>
      </c>
      <c r="U41" s="2">
        <v>1</v>
      </c>
      <c r="V41" s="2">
        <v>1</v>
      </c>
      <c r="W41" s="2">
        <f t="shared" si="0"/>
        <v>47</v>
      </c>
      <c r="X41" s="2">
        <f t="shared" si="1"/>
        <v>58.75</v>
      </c>
      <c r="Y41" s="7" t="s">
        <v>29</v>
      </c>
    </row>
    <row r="42" spans="1:25" x14ac:dyDescent="0.35">
      <c r="A42" s="2">
        <v>41</v>
      </c>
      <c r="B42" s="3" t="s">
        <v>67</v>
      </c>
      <c r="C42" s="2">
        <v>4</v>
      </c>
      <c r="D42" s="2">
        <v>4</v>
      </c>
      <c r="E42" s="2">
        <v>4</v>
      </c>
      <c r="F42" s="2">
        <v>3</v>
      </c>
      <c r="G42" s="2">
        <v>2</v>
      </c>
      <c r="H42" s="2">
        <v>3</v>
      </c>
      <c r="I42" s="2">
        <v>4</v>
      </c>
      <c r="J42" s="2">
        <v>3</v>
      </c>
      <c r="K42" s="2">
        <v>3</v>
      </c>
      <c r="L42" s="2">
        <v>4</v>
      </c>
      <c r="M42" s="2">
        <v>4</v>
      </c>
      <c r="N42" s="2">
        <v>3</v>
      </c>
      <c r="O42" s="2">
        <v>4</v>
      </c>
      <c r="P42" s="2">
        <v>4</v>
      </c>
      <c r="Q42" s="2">
        <v>2</v>
      </c>
      <c r="R42" s="2">
        <v>3</v>
      </c>
      <c r="S42" s="2">
        <v>4</v>
      </c>
      <c r="T42" s="2">
        <v>3</v>
      </c>
      <c r="U42" s="2">
        <v>3</v>
      </c>
      <c r="V42" s="2">
        <v>4</v>
      </c>
      <c r="W42" s="2">
        <f t="shared" si="0"/>
        <v>68</v>
      </c>
      <c r="X42" s="2">
        <f t="shared" si="1"/>
        <v>85</v>
      </c>
      <c r="Y42" s="7" t="s">
        <v>26</v>
      </c>
    </row>
    <row r="43" spans="1:25" x14ac:dyDescent="0.35">
      <c r="A43" s="2">
        <v>42</v>
      </c>
      <c r="B43" s="3" t="s">
        <v>68</v>
      </c>
      <c r="C43" s="2">
        <v>3</v>
      </c>
      <c r="D43" s="2">
        <v>3</v>
      </c>
      <c r="E43" s="2">
        <v>3</v>
      </c>
      <c r="F43" s="2">
        <v>2</v>
      </c>
      <c r="G43" s="2">
        <v>3</v>
      </c>
      <c r="H43" s="2">
        <v>4</v>
      </c>
      <c r="I43" s="2">
        <v>4</v>
      </c>
      <c r="J43" s="2">
        <v>2</v>
      </c>
      <c r="K43" s="2">
        <v>3</v>
      </c>
      <c r="L43" s="2">
        <v>3</v>
      </c>
      <c r="M43" s="2">
        <v>4</v>
      </c>
      <c r="N43" s="2">
        <v>3</v>
      </c>
      <c r="O43" s="2">
        <v>2</v>
      </c>
      <c r="P43" s="2">
        <v>4</v>
      </c>
      <c r="Q43" s="2">
        <v>3</v>
      </c>
      <c r="R43" s="2">
        <v>4</v>
      </c>
      <c r="S43" s="2">
        <v>3</v>
      </c>
      <c r="T43" s="2">
        <v>3</v>
      </c>
      <c r="U43" s="2">
        <v>3</v>
      </c>
      <c r="V43" s="2">
        <v>1</v>
      </c>
      <c r="W43" s="2">
        <f t="shared" si="0"/>
        <v>60</v>
      </c>
      <c r="X43" s="2">
        <f t="shared" si="1"/>
        <v>75</v>
      </c>
      <c r="Y43" s="7" t="s">
        <v>29</v>
      </c>
    </row>
    <row r="44" spans="1:25" x14ac:dyDescent="0.35">
      <c r="A44" s="5"/>
      <c r="B44" s="3" t="s">
        <v>69</v>
      </c>
      <c r="C44" s="5">
        <f>SUM(C2:C43)</f>
        <v>126</v>
      </c>
      <c r="D44" s="5">
        <f t="shared" ref="D44:X44" si="2">SUM(D2:D43)</f>
        <v>118</v>
      </c>
      <c r="E44" s="5">
        <f t="shared" si="2"/>
        <v>125</v>
      </c>
      <c r="F44" s="5">
        <f t="shared" si="2"/>
        <v>110</v>
      </c>
      <c r="G44" s="5">
        <f t="shared" si="2"/>
        <v>113</v>
      </c>
      <c r="H44" s="5">
        <f t="shared" si="2"/>
        <v>126</v>
      </c>
      <c r="I44" s="5">
        <f t="shared" si="2"/>
        <v>118</v>
      </c>
      <c r="J44" s="5">
        <f t="shared" si="2"/>
        <v>107</v>
      </c>
      <c r="K44" s="5">
        <f t="shared" si="2"/>
        <v>115</v>
      </c>
      <c r="L44" s="5">
        <f t="shared" si="2"/>
        <v>116</v>
      </c>
      <c r="M44" s="5">
        <f t="shared" si="2"/>
        <v>122</v>
      </c>
      <c r="N44" s="5">
        <f t="shared" si="2"/>
        <v>115</v>
      </c>
      <c r="O44" s="5">
        <f t="shared" si="2"/>
        <v>110</v>
      </c>
      <c r="P44" s="5">
        <f t="shared" si="2"/>
        <v>127</v>
      </c>
      <c r="Q44" s="5">
        <f t="shared" si="2"/>
        <v>120</v>
      </c>
      <c r="R44" s="5">
        <f t="shared" si="2"/>
        <v>121</v>
      </c>
      <c r="S44" s="5">
        <f t="shared" si="2"/>
        <v>119</v>
      </c>
      <c r="T44" s="5">
        <f t="shared" si="2"/>
        <v>115</v>
      </c>
      <c r="U44" s="5">
        <f t="shared" si="2"/>
        <v>112</v>
      </c>
      <c r="V44" s="5">
        <f t="shared" si="2"/>
        <v>105</v>
      </c>
      <c r="W44" s="5">
        <f t="shared" si="2"/>
        <v>2340</v>
      </c>
      <c r="X44" s="5">
        <f t="shared" si="2"/>
        <v>2925</v>
      </c>
      <c r="Y44" s="7"/>
    </row>
    <row r="45" spans="1:25" x14ac:dyDescent="0.35">
      <c r="A45" s="5"/>
      <c r="B45" s="3" t="s">
        <v>70</v>
      </c>
      <c r="C45" s="5">
        <f>4*42</f>
        <v>168</v>
      </c>
      <c r="D45" s="5">
        <f t="shared" ref="D45:V45" si="3">4*42</f>
        <v>168</v>
      </c>
      <c r="E45" s="5">
        <f t="shared" si="3"/>
        <v>168</v>
      </c>
      <c r="F45" s="5">
        <f t="shared" si="3"/>
        <v>168</v>
      </c>
      <c r="G45" s="5">
        <f t="shared" si="3"/>
        <v>168</v>
      </c>
      <c r="H45" s="5">
        <f t="shared" si="3"/>
        <v>168</v>
      </c>
      <c r="I45" s="5">
        <f t="shared" si="3"/>
        <v>168</v>
      </c>
      <c r="J45" s="5">
        <f t="shared" si="3"/>
        <v>168</v>
      </c>
      <c r="K45" s="5">
        <f t="shared" si="3"/>
        <v>168</v>
      </c>
      <c r="L45" s="5">
        <f t="shared" si="3"/>
        <v>168</v>
      </c>
      <c r="M45" s="5">
        <f t="shared" si="3"/>
        <v>168</v>
      </c>
      <c r="N45" s="5">
        <f t="shared" si="3"/>
        <v>168</v>
      </c>
      <c r="O45" s="5">
        <f t="shared" si="3"/>
        <v>168</v>
      </c>
      <c r="P45" s="5">
        <f t="shared" si="3"/>
        <v>168</v>
      </c>
      <c r="Q45" s="5">
        <f t="shared" si="3"/>
        <v>168</v>
      </c>
      <c r="R45" s="5">
        <f t="shared" si="3"/>
        <v>168</v>
      </c>
      <c r="S45" s="5">
        <f t="shared" si="3"/>
        <v>168</v>
      </c>
      <c r="T45" s="5">
        <f t="shared" si="3"/>
        <v>168</v>
      </c>
      <c r="U45" s="5">
        <f t="shared" si="3"/>
        <v>168</v>
      </c>
      <c r="V45" s="5">
        <f t="shared" si="3"/>
        <v>168</v>
      </c>
      <c r="W45" s="5"/>
      <c r="X45" s="5"/>
      <c r="Y45" s="7"/>
    </row>
    <row r="46" spans="1:25" x14ac:dyDescent="0.35">
      <c r="A46" s="5"/>
      <c r="B46" s="3" t="s">
        <v>71</v>
      </c>
      <c r="C46" s="5">
        <f>C44/C45*100</f>
        <v>75</v>
      </c>
      <c r="D46" s="6">
        <f>D44/D45*100</f>
        <v>70.238095238095227</v>
      </c>
      <c r="E46" s="6">
        <f t="shared" ref="E46:V46" si="4">E44/E45*100</f>
        <v>74.404761904761912</v>
      </c>
      <c r="F46" s="6">
        <f t="shared" si="4"/>
        <v>65.476190476190482</v>
      </c>
      <c r="G46" s="6">
        <f t="shared" si="4"/>
        <v>67.261904761904773</v>
      </c>
      <c r="H46" s="5">
        <f t="shared" si="4"/>
        <v>75</v>
      </c>
      <c r="I46" s="6">
        <f t="shared" si="4"/>
        <v>70.238095238095227</v>
      </c>
      <c r="J46" s="6">
        <f t="shared" si="4"/>
        <v>63.69047619047619</v>
      </c>
      <c r="K46" s="6">
        <f t="shared" si="4"/>
        <v>68.452380952380949</v>
      </c>
      <c r="L46" s="6">
        <f t="shared" si="4"/>
        <v>69.047619047619051</v>
      </c>
      <c r="M46" s="6">
        <f t="shared" si="4"/>
        <v>72.61904761904762</v>
      </c>
      <c r="N46" s="6">
        <f t="shared" si="4"/>
        <v>68.452380952380949</v>
      </c>
      <c r="O46" s="6">
        <f t="shared" si="4"/>
        <v>65.476190476190482</v>
      </c>
      <c r="P46" s="6">
        <f t="shared" si="4"/>
        <v>75.595238095238088</v>
      </c>
      <c r="Q46" s="6">
        <f t="shared" si="4"/>
        <v>71.428571428571431</v>
      </c>
      <c r="R46" s="6">
        <f t="shared" si="4"/>
        <v>72.023809523809518</v>
      </c>
      <c r="S46" s="6">
        <f t="shared" si="4"/>
        <v>70.833333333333343</v>
      </c>
      <c r="T46" s="6">
        <f t="shared" si="4"/>
        <v>68.452380952380949</v>
      </c>
      <c r="U46" s="6">
        <f t="shared" si="4"/>
        <v>66.666666666666657</v>
      </c>
      <c r="V46" s="5">
        <f t="shared" si="4"/>
        <v>62.5</v>
      </c>
      <c r="W46" s="5"/>
      <c r="X46" s="5"/>
      <c r="Y46" s="7"/>
    </row>
    <row r="47" spans="1:25" x14ac:dyDescent="0.35">
      <c r="A47" s="5"/>
      <c r="B47" s="3" t="s">
        <v>72</v>
      </c>
      <c r="C47" s="5">
        <f>AVERAGE(C2:C43)</f>
        <v>3</v>
      </c>
      <c r="D47" s="6">
        <f t="shared" ref="D47:V47" si="5">AVERAGE(D2:D43)</f>
        <v>2.8095238095238093</v>
      </c>
      <c r="E47" s="6">
        <f t="shared" si="5"/>
        <v>2.9761904761904763</v>
      </c>
      <c r="F47" s="6">
        <f t="shared" si="5"/>
        <v>2.6190476190476191</v>
      </c>
      <c r="G47" s="6">
        <f t="shared" si="5"/>
        <v>2.6904761904761907</v>
      </c>
      <c r="H47" s="6">
        <f t="shared" si="5"/>
        <v>3</v>
      </c>
      <c r="I47" s="6">
        <f t="shared" si="5"/>
        <v>2.8095238095238093</v>
      </c>
      <c r="J47" s="6">
        <f t="shared" si="5"/>
        <v>2.5476190476190474</v>
      </c>
      <c r="K47" s="6">
        <f t="shared" si="5"/>
        <v>2.7380952380952381</v>
      </c>
      <c r="L47" s="6">
        <f t="shared" si="5"/>
        <v>2.7619047619047619</v>
      </c>
      <c r="M47" s="6">
        <f t="shared" si="5"/>
        <v>2.9047619047619047</v>
      </c>
      <c r="N47" s="6">
        <f t="shared" si="5"/>
        <v>2.7380952380952381</v>
      </c>
      <c r="O47" s="6">
        <f t="shared" si="5"/>
        <v>2.6190476190476191</v>
      </c>
      <c r="P47" s="6">
        <f t="shared" si="5"/>
        <v>3.0238095238095237</v>
      </c>
      <c r="Q47" s="6">
        <f t="shared" si="5"/>
        <v>2.8571428571428572</v>
      </c>
      <c r="R47" s="6">
        <f t="shared" si="5"/>
        <v>2.8809523809523809</v>
      </c>
      <c r="S47" s="6">
        <f t="shared" si="5"/>
        <v>2.8333333333333335</v>
      </c>
      <c r="T47" s="6">
        <f t="shared" si="5"/>
        <v>2.7380952380952381</v>
      </c>
      <c r="U47" s="6">
        <f t="shared" si="5"/>
        <v>2.6666666666666665</v>
      </c>
      <c r="V47" s="5">
        <f t="shared" si="5"/>
        <v>2.5</v>
      </c>
      <c r="W47" s="5"/>
      <c r="X47" s="5"/>
      <c r="Y4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Angket 1</vt:lpstr>
      <vt:lpstr>Angket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2024-10-05T06:39:29Z</dcterms:created>
  <dcterms:modified xsi:type="dcterms:W3CDTF">2024-10-05T06:44:03Z</dcterms:modified>
</cp:coreProperties>
</file>